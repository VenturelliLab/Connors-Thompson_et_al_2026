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bconnors3_wisc_edu/Documents/Projects/Synbiotics/mouse_experiment/data/"/>
    </mc:Choice>
  </mc:AlternateContent>
  <xr:revisionPtr revIDLastSave="947" documentId="8_{2B4E65B2-ADBE-7340-AEA0-6CAEFD857C1D}" xr6:coauthVersionLast="47" xr6:coauthVersionMax="47" xr10:uidLastSave="{AB1B2C7A-DFAE-3646-A2F6-7E36B45F788E}"/>
  <bookViews>
    <workbookView xWindow="1180" yWindow="1000" windowWidth="25040" windowHeight="13540" xr2:uid="{C377F9FA-5418-1A44-88C9-616EAA3F04B3}"/>
  </bookViews>
  <sheets>
    <sheet name="CFU_commMinus_repeat" sheetId="6" r:id="rId1"/>
    <sheet name="CFU_commMinus" sheetId="4" r:id="rId2"/>
    <sheet name="CFU_commPlus" sheetId="2" r:id="rId3"/>
    <sheet name="misc_plots" sheetId="3" r:id="rId4"/>
    <sheet name="Im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6" l="1"/>
  <c r="Q32" i="6"/>
  <c r="G32" i="6" s="1"/>
  <c r="M32" i="6"/>
  <c r="J32" i="6"/>
  <c r="R31" i="6"/>
  <c r="Q31" i="6"/>
  <c r="M31" i="6" s="1"/>
  <c r="R30" i="6"/>
  <c r="Q30" i="6"/>
  <c r="D30" i="6"/>
  <c r="D31" i="6" s="1"/>
  <c r="D32" i="6" s="1"/>
  <c r="R29" i="6"/>
  <c r="Q29" i="6"/>
  <c r="M29" i="6" s="1"/>
  <c r="J29" i="6"/>
  <c r="G29" i="6"/>
  <c r="D29" i="6"/>
  <c r="R28" i="6"/>
  <c r="Q28" i="6"/>
  <c r="M28" i="6" s="1"/>
  <c r="R27" i="6"/>
  <c r="Q27" i="6"/>
  <c r="M27" i="6" s="1"/>
  <c r="R26" i="6"/>
  <c r="Q26" i="6"/>
  <c r="R25" i="6"/>
  <c r="Q25" i="6"/>
  <c r="D25" i="6"/>
  <c r="D26" i="6" s="1"/>
  <c r="D27" i="6" s="1"/>
  <c r="R24" i="6"/>
  <c r="Q24" i="6"/>
  <c r="M24" i="6" s="1"/>
  <c r="D24" i="6"/>
  <c r="R23" i="6"/>
  <c r="Q23" i="6"/>
  <c r="R22" i="6"/>
  <c r="Q22" i="6"/>
  <c r="R21" i="6"/>
  <c r="Q21" i="6"/>
  <c r="J21" i="6" s="1"/>
  <c r="M21" i="6"/>
  <c r="R20" i="6"/>
  <c r="Q20" i="6"/>
  <c r="M20" i="6"/>
  <c r="R19" i="6"/>
  <c r="Q19" i="6"/>
  <c r="D19" i="6"/>
  <c r="D20" i="6" s="1"/>
  <c r="D21" i="6" s="1"/>
  <c r="D22" i="6" s="1"/>
  <c r="R18" i="6"/>
  <c r="Q18" i="6"/>
  <c r="G18" i="6" s="1"/>
  <c r="M18" i="6"/>
  <c r="J18" i="6"/>
  <c r="B18" i="6"/>
  <c r="B23" i="6" s="1"/>
  <c r="B28" i="6" s="1"/>
  <c r="R17" i="6"/>
  <c r="Q17" i="6"/>
  <c r="M17" i="6" s="1"/>
  <c r="R16" i="6"/>
  <c r="Q16" i="6"/>
  <c r="M16" i="6" s="1"/>
  <c r="B16" i="6"/>
  <c r="B21" i="6" s="1"/>
  <c r="B26" i="6" s="1"/>
  <c r="B31" i="6" s="1"/>
  <c r="R15" i="6"/>
  <c r="Q15" i="6"/>
  <c r="D15" i="6"/>
  <c r="D16" i="6" s="1"/>
  <c r="D17" i="6" s="1"/>
  <c r="B15" i="6"/>
  <c r="B20" i="6" s="1"/>
  <c r="B25" i="6" s="1"/>
  <c r="B30" i="6" s="1"/>
  <c r="R14" i="6"/>
  <c r="Q14" i="6"/>
  <c r="J14" i="6" s="1"/>
  <c r="D14" i="6"/>
  <c r="R13" i="6"/>
  <c r="Q13" i="6"/>
  <c r="M13" i="6" s="1"/>
  <c r="B13" i="6"/>
  <c r="R12" i="6"/>
  <c r="Q12" i="6"/>
  <c r="G12" i="6" s="1"/>
  <c r="B12" i="6"/>
  <c r="B17" i="6" s="1"/>
  <c r="B22" i="6" s="1"/>
  <c r="B27" i="6" s="1"/>
  <c r="B32" i="6" s="1"/>
  <c r="R11" i="6"/>
  <c r="Q11" i="6"/>
  <c r="G11" i="6" s="1"/>
  <c r="B11" i="6"/>
  <c r="R10" i="6"/>
  <c r="Q10" i="6"/>
  <c r="G10" i="6" s="1"/>
  <c r="B10" i="6"/>
  <c r="R9" i="6"/>
  <c r="Q9" i="6"/>
  <c r="G9" i="6" s="1"/>
  <c r="D9" i="6"/>
  <c r="D10" i="6" s="1"/>
  <c r="D11" i="6" s="1"/>
  <c r="D12" i="6" s="1"/>
  <c r="B9" i="6"/>
  <c r="B14" i="6" s="1"/>
  <c r="B19" i="6" s="1"/>
  <c r="B24" i="6" s="1"/>
  <c r="B29" i="6" s="1"/>
  <c r="R8" i="6"/>
  <c r="Q8" i="6"/>
  <c r="G8" i="6" s="1"/>
  <c r="B8" i="6"/>
  <c r="Q7" i="6"/>
  <c r="M7" i="6"/>
  <c r="J7" i="6"/>
  <c r="G7" i="6"/>
  <c r="N7" i="6" s="1"/>
  <c r="J6" i="6"/>
  <c r="Q6" i="6"/>
  <c r="M6" i="6" s="1"/>
  <c r="Q5" i="6"/>
  <c r="M5" i="6"/>
  <c r="Q4" i="6"/>
  <c r="G4" i="6" s="1"/>
  <c r="D4" i="6"/>
  <c r="D5" i="6" s="1"/>
  <c r="D6" i="6" s="1"/>
  <c r="D7" i="6" s="1"/>
  <c r="Q3" i="6"/>
  <c r="R32" i="4"/>
  <c r="Q32" i="4"/>
  <c r="J32" i="4" s="1"/>
  <c r="B32" i="4"/>
  <c r="R31" i="4"/>
  <c r="Q31" i="4"/>
  <c r="M31" i="4" s="1"/>
  <c r="B31" i="4"/>
  <c r="R30" i="4"/>
  <c r="Q30" i="4"/>
  <c r="J30" i="4" s="1"/>
  <c r="B30" i="4"/>
  <c r="R29" i="4"/>
  <c r="Q29" i="4"/>
  <c r="G29" i="4" s="1"/>
  <c r="D29" i="4"/>
  <c r="D30" i="4" s="1"/>
  <c r="D31" i="4" s="1"/>
  <c r="D32" i="4" s="1"/>
  <c r="B29" i="4"/>
  <c r="R28" i="4"/>
  <c r="Q28" i="4"/>
  <c r="M28" i="4" s="1"/>
  <c r="G28" i="4"/>
  <c r="B28" i="4"/>
  <c r="R27" i="4"/>
  <c r="Q27" i="4"/>
  <c r="M27" i="4" s="1"/>
  <c r="B27" i="4"/>
  <c r="R26" i="4"/>
  <c r="Q26" i="4"/>
  <c r="B26" i="4"/>
  <c r="R25" i="4"/>
  <c r="Q25" i="4"/>
  <c r="J25" i="4" s="1"/>
  <c r="B25" i="4"/>
  <c r="R24" i="4"/>
  <c r="Q24" i="4"/>
  <c r="J24" i="4" s="1"/>
  <c r="D24" i="4"/>
  <c r="D25" i="4" s="1"/>
  <c r="D26" i="4" s="1"/>
  <c r="D27" i="4" s="1"/>
  <c r="B24" i="4"/>
  <c r="R23" i="4"/>
  <c r="Q23" i="4"/>
  <c r="J23" i="4" s="1"/>
  <c r="B23" i="4"/>
  <c r="R22" i="4"/>
  <c r="Q22" i="4"/>
  <c r="M22" i="4" s="1"/>
  <c r="B22" i="4"/>
  <c r="R21" i="4"/>
  <c r="Q21" i="4"/>
  <c r="J21" i="4" s="1"/>
  <c r="G21" i="4"/>
  <c r="B21" i="4"/>
  <c r="R20" i="4"/>
  <c r="Q20" i="4"/>
  <c r="J20" i="4"/>
  <c r="B20" i="4"/>
  <c r="R19" i="4"/>
  <c r="Q19" i="4"/>
  <c r="J19" i="4"/>
  <c r="D19" i="4"/>
  <c r="D20" i="4" s="1"/>
  <c r="D21" i="4" s="1"/>
  <c r="D22" i="4" s="1"/>
  <c r="B19" i="4"/>
  <c r="R18" i="4"/>
  <c r="Q18" i="4"/>
  <c r="J18" i="4" s="1"/>
  <c r="B18" i="4"/>
  <c r="R17" i="4"/>
  <c r="Q17" i="4"/>
  <c r="M17" i="4" s="1"/>
  <c r="G17" i="4"/>
  <c r="B17" i="4"/>
  <c r="R16" i="4"/>
  <c r="Q16" i="4"/>
  <c r="J16" i="4" s="1"/>
  <c r="M16" i="4"/>
  <c r="G16" i="4"/>
  <c r="B16" i="4"/>
  <c r="R15" i="4"/>
  <c r="Q15" i="4"/>
  <c r="J15" i="4" s="1"/>
  <c r="M15" i="4"/>
  <c r="G15" i="4"/>
  <c r="B15" i="4"/>
  <c r="R14" i="4"/>
  <c r="Q14" i="4"/>
  <c r="M14" i="4" s="1"/>
  <c r="G14" i="4"/>
  <c r="D14" i="4"/>
  <c r="D15" i="4" s="1"/>
  <c r="D16" i="4" s="1"/>
  <c r="D17" i="4" s="1"/>
  <c r="B14" i="4"/>
  <c r="R13" i="4"/>
  <c r="Q13" i="4"/>
  <c r="J13" i="4" s="1"/>
  <c r="B13" i="4"/>
  <c r="B9" i="4"/>
  <c r="B10" i="4"/>
  <c r="B11" i="4"/>
  <c r="B12" i="4"/>
  <c r="B8" i="4"/>
  <c r="R12" i="4"/>
  <c r="Q12" i="4"/>
  <c r="J12" i="4" s="1"/>
  <c r="M12" i="4"/>
  <c r="R11" i="4"/>
  <c r="Q11" i="4"/>
  <c r="J11" i="4" s="1"/>
  <c r="R10" i="4"/>
  <c r="Q10" i="4"/>
  <c r="J10" i="4" s="1"/>
  <c r="R9" i="4"/>
  <c r="Q9" i="4"/>
  <c r="J9" i="4" s="1"/>
  <c r="D9" i="4"/>
  <c r="D10" i="4" s="1"/>
  <c r="D11" i="4" s="1"/>
  <c r="D12" i="4" s="1"/>
  <c r="R8" i="4"/>
  <c r="Q8" i="4"/>
  <c r="J8" i="4" s="1"/>
  <c r="R7" i="4"/>
  <c r="Q7" i="4"/>
  <c r="M7" i="4" s="1"/>
  <c r="R6" i="4"/>
  <c r="Q6" i="4"/>
  <c r="M6" i="4" s="1"/>
  <c r="R5" i="4"/>
  <c r="Q5" i="4"/>
  <c r="R4" i="4"/>
  <c r="Q4" i="4"/>
  <c r="J4" i="4" s="1"/>
  <c r="D4" i="4"/>
  <c r="D5" i="4" s="1"/>
  <c r="D6" i="4" s="1"/>
  <c r="D7" i="4" s="1"/>
  <c r="R3" i="4"/>
  <c r="Q3" i="4"/>
  <c r="M3" i="4" s="1"/>
  <c r="G70" i="2"/>
  <c r="G71" i="2"/>
  <c r="G72" i="2"/>
  <c r="G73" i="2"/>
  <c r="N73" i="2" s="1"/>
  <c r="G74" i="2"/>
  <c r="G75" i="2"/>
  <c r="N75" i="2" s="1"/>
  <c r="G76" i="2"/>
  <c r="G77" i="2"/>
  <c r="N77" i="2" s="1"/>
  <c r="G78" i="2"/>
  <c r="G79" i="2"/>
  <c r="G80" i="2"/>
  <c r="N80" i="2" s="1"/>
  <c r="G81" i="2"/>
  <c r="G82" i="2"/>
  <c r="G83" i="2"/>
  <c r="G84" i="2"/>
  <c r="N84" i="2" s="1"/>
  <c r="G85" i="2"/>
  <c r="N85" i="2" s="1"/>
  <c r="G86" i="2"/>
  <c r="G87" i="2"/>
  <c r="G88" i="2"/>
  <c r="G89" i="2"/>
  <c r="N89" i="2" s="1"/>
  <c r="G90" i="2"/>
  <c r="G91" i="2"/>
  <c r="N91" i="2" s="1"/>
  <c r="G92" i="2"/>
  <c r="J67" i="2"/>
  <c r="J68" i="2"/>
  <c r="J69" i="2"/>
  <c r="J70" i="2"/>
  <c r="N70" i="2" s="1"/>
  <c r="J71" i="2"/>
  <c r="J72" i="2"/>
  <c r="J73" i="2"/>
  <c r="J74" i="2"/>
  <c r="N74" i="2" s="1"/>
  <c r="J75" i="2"/>
  <c r="J76" i="2"/>
  <c r="J77" i="2"/>
  <c r="J78" i="2"/>
  <c r="N78" i="2" s="1"/>
  <c r="J79" i="2"/>
  <c r="J80" i="2"/>
  <c r="J81" i="2"/>
  <c r="J82" i="2"/>
  <c r="N82" i="2" s="1"/>
  <c r="J83" i="2"/>
  <c r="J84" i="2"/>
  <c r="J85" i="2"/>
  <c r="J86" i="2"/>
  <c r="N86" i="2" s="1"/>
  <c r="J87" i="2"/>
  <c r="J88" i="2"/>
  <c r="J89" i="2"/>
  <c r="J90" i="2"/>
  <c r="J91" i="2"/>
  <c r="J92" i="2"/>
  <c r="M67" i="2"/>
  <c r="N67" i="2"/>
  <c r="M68" i="2"/>
  <c r="N68" i="2"/>
  <c r="M69" i="2"/>
  <c r="N69" i="2"/>
  <c r="M70" i="2"/>
  <c r="M71" i="2"/>
  <c r="N71" i="2"/>
  <c r="M72" i="2"/>
  <c r="N72" i="2"/>
  <c r="M73" i="2"/>
  <c r="M74" i="2"/>
  <c r="M75" i="2"/>
  <c r="M76" i="2"/>
  <c r="N76" i="2"/>
  <c r="M77" i="2"/>
  <c r="M78" i="2"/>
  <c r="M79" i="2"/>
  <c r="N79" i="2"/>
  <c r="M80" i="2"/>
  <c r="M81" i="2"/>
  <c r="N81" i="2"/>
  <c r="M82" i="2"/>
  <c r="M83" i="2"/>
  <c r="N83" i="2"/>
  <c r="M84" i="2"/>
  <c r="M85" i="2"/>
  <c r="M86" i="2"/>
  <c r="M87" i="2"/>
  <c r="M88" i="2"/>
  <c r="N88" i="2"/>
  <c r="M89" i="2"/>
  <c r="M90" i="2"/>
  <c r="M91" i="2"/>
  <c r="M92" i="2"/>
  <c r="N92" i="2"/>
  <c r="Q83" i="2"/>
  <c r="Q84" i="2"/>
  <c r="Q85" i="2"/>
  <c r="Q86" i="2"/>
  <c r="Q87" i="2"/>
  <c r="Q88" i="2"/>
  <c r="Q89" i="2"/>
  <c r="Q90" i="2"/>
  <c r="Q91" i="2"/>
  <c r="Q92" i="2"/>
  <c r="G69" i="2"/>
  <c r="G68" i="2"/>
  <c r="G67" i="2"/>
  <c r="M66" i="2"/>
  <c r="N66" i="2" s="1"/>
  <c r="J66" i="2"/>
  <c r="G66" i="2"/>
  <c r="M65" i="2"/>
  <c r="N65" i="2"/>
  <c r="J65" i="2"/>
  <c r="G65" i="2"/>
  <c r="M64" i="2"/>
  <c r="N64" i="2"/>
  <c r="J64" i="2"/>
  <c r="G64" i="2"/>
  <c r="M63" i="2"/>
  <c r="N63" i="2" s="1"/>
  <c r="J63" i="2"/>
  <c r="G63" i="2"/>
  <c r="M62" i="2"/>
  <c r="N62" i="2" s="1"/>
  <c r="J62" i="2"/>
  <c r="G62" i="2"/>
  <c r="M61" i="2"/>
  <c r="N61" i="2"/>
  <c r="J61" i="2"/>
  <c r="G61" i="2"/>
  <c r="M60" i="2"/>
  <c r="N60" i="2"/>
  <c r="J60" i="2"/>
  <c r="G60" i="2"/>
  <c r="M59" i="2"/>
  <c r="N59" i="2"/>
  <c r="J59" i="2"/>
  <c r="G59" i="2"/>
  <c r="M58" i="2"/>
  <c r="N58" i="2"/>
  <c r="J58" i="2"/>
  <c r="G58" i="2"/>
  <c r="M57" i="2"/>
  <c r="N57" i="2" s="1"/>
  <c r="J57" i="2"/>
  <c r="G57" i="2"/>
  <c r="M56" i="2"/>
  <c r="N56" i="2"/>
  <c r="J56" i="2"/>
  <c r="G56" i="2"/>
  <c r="M55" i="2"/>
  <c r="N55" i="2" s="1"/>
  <c r="J55" i="2"/>
  <c r="G55" i="2"/>
  <c r="M54" i="2"/>
  <c r="N54" i="2"/>
  <c r="J54" i="2"/>
  <c r="G54" i="2"/>
  <c r="M53" i="2"/>
  <c r="N53" i="2"/>
  <c r="J53" i="2"/>
  <c r="G53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58" i="2"/>
  <c r="Q57" i="2"/>
  <c r="Q56" i="2"/>
  <c r="Q55" i="2"/>
  <c r="Q54" i="2"/>
  <c r="Q53" i="2"/>
  <c r="B54" i="2"/>
  <c r="B55" i="2"/>
  <c r="B56" i="2"/>
  <c r="B66" i="2" s="1"/>
  <c r="B76" i="2" s="1"/>
  <c r="B57" i="2"/>
  <c r="B67" i="2" s="1"/>
  <c r="B77" i="2" s="1"/>
  <c r="B58" i="2"/>
  <c r="B59" i="2"/>
  <c r="B60" i="2"/>
  <c r="B61" i="2"/>
  <c r="B62" i="2"/>
  <c r="B63" i="2"/>
  <c r="B64" i="2"/>
  <c r="B65" i="2"/>
  <c r="B68" i="2"/>
  <c r="B69" i="2"/>
  <c r="B70" i="2"/>
  <c r="B71" i="2"/>
  <c r="B72" i="2"/>
  <c r="B73" i="2"/>
  <c r="B74" i="2"/>
  <c r="B75" i="2"/>
  <c r="B78" i="2"/>
  <c r="B79" i="2"/>
  <c r="B80" i="2"/>
  <c r="B81" i="2"/>
  <c r="B82" i="2"/>
  <c r="B53" i="2"/>
  <c r="M33" i="2"/>
  <c r="M34" i="2"/>
  <c r="M35" i="2"/>
  <c r="M36" i="2"/>
  <c r="N36" i="2" s="1"/>
  <c r="M37" i="2"/>
  <c r="M38" i="2"/>
  <c r="M39" i="2"/>
  <c r="M40" i="2"/>
  <c r="N40" i="2" s="1"/>
  <c r="M41" i="2"/>
  <c r="M42" i="2"/>
  <c r="M43" i="2"/>
  <c r="M44" i="2"/>
  <c r="M45" i="2"/>
  <c r="M46" i="2"/>
  <c r="M47" i="2"/>
  <c r="M48" i="2"/>
  <c r="N48" i="2" s="1"/>
  <c r="M49" i="2"/>
  <c r="M50" i="2"/>
  <c r="M51" i="2"/>
  <c r="M52" i="2"/>
  <c r="J52" i="2"/>
  <c r="G52" i="2"/>
  <c r="J51" i="2"/>
  <c r="N51" i="2"/>
  <c r="G51" i="2"/>
  <c r="J50" i="2"/>
  <c r="N50" i="2"/>
  <c r="G50" i="2"/>
  <c r="J49" i="2"/>
  <c r="N49" i="2"/>
  <c r="G49" i="2"/>
  <c r="J48" i="2"/>
  <c r="G48" i="2"/>
  <c r="J47" i="2"/>
  <c r="N47" i="2"/>
  <c r="G47" i="2"/>
  <c r="J46" i="2"/>
  <c r="N46" i="2" s="1"/>
  <c r="G46" i="2"/>
  <c r="J45" i="2"/>
  <c r="N45" i="2"/>
  <c r="G45" i="2"/>
  <c r="J44" i="2"/>
  <c r="G44" i="2"/>
  <c r="J43" i="2"/>
  <c r="N43" i="2" s="1"/>
  <c r="G43" i="2"/>
  <c r="D50" i="2"/>
  <c r="D51" i="2" s="1"/>
  <c r="D52" i="2" s="1"/>
  <c r="D49" i="2"/>
  <c r="C48" i="2"/>
  <c r="D44" i="2"/>
  <c r="D45" i="2" s="1"/>
  <c r="D46" i="2" s="1"/>
  <c r="D47" i="2" s="1"/>
  <c r="C44" i="2"/>
  <c r="C45" i="2" s="1"/>
  <c r="Q43" i="2"/>
  <c r="Q44" i="2"/>
  <c r="Q45" i="2"/>
  <c r="Q46" i="2"/>
  <c r="Q47" i="2"/>
  <c r="Q48" i="2"/>
  <c r="Q49" i="2"/>
  <c r="Q50" i="2"/>
  <c r="Q51" i="2"/>
  <c r="Q52" i="2"/>
  <c r="N33" i="2"/>
  <c r="N34" i="2"/>
  <c r="N35" i="2"/>
  <c r="N37" i="2"/>
  <c r="N38" i="2"/>
  <c r="N39" i="2"/>
  <c r="N41" i="2"/>
  <c r="N42" i="2"/>
  <c r="J33" i="2"/>
  <c r="J34" i="2"/>
  <c r="J35" i="2"/>
  <c r="J36" i="2"/>
  <c r="J37" i="2"/>
  <c r="J38" i="2"/>
  <c r="J39" i="2"/>
  <c r="J40" i="2"/>
  <c r="J41" i="2"/>
  <c r="J42" i="2"/>
  <c r="G33" i="2"/>
  <c r="G34" i="2"/>
  <c r="G35" i="2"/>
  <c r="G36" i="2"/>
  <c r="G37" i="2"/>
  <c r="G38" i="2"/>
  <c r="G39" i="2"/>
  <c r="G40" i="2"/>
  <c r="G41" i="2"/>
  <c r="G42" i="2"/>
  <c r="Q33" i="2"/>
  <c r="Q34" i="2"/>
  <c r="Q35" i="2"/>
  <c r="Q36" i="2"/>
  <c r="Q37" i="2"/>
  <c r="Q38" i="2"/>
  <c r="Q39" i="2"/>
  <c r="Q40" i="2"/>
  <c r="Q41" i="2"/>
  <c r="Q42" i="2"/>
  <c r="D39" i="2"/>
  <c r="D40" i="2" s="1"/>
  <c r="D41" i="2" s="1"/>
  <c r="D42" i="2" s="1"/>
  <c r="C38" i="2"/>
  <c r="D34" i="2"/>
  <c r="D35" i="2" s="1"/>
  <c r="D36" i="2" s="1"/>
  <c r="D37" i="2" s="1"/>
  <c r="C34" i="2"/>
  <c r="C35" i="2" s="1"/>
  <c r="N32" i="6" l="1"/>
  <c r="N29" i="6"/>
  <c r="M23" i="6"/>
  <c r="J24" i="6"/>
  <c r="N18" i="6"/>
  <c r="J20" i="6"/>
  <c r="G21" i="6"/>
  <c r="N21" i="6" s="1"/>
  <c r="M22" i="6"/>
  <c r="M19" i="6"/>
  <c r="M14" i="6"/>
  <c r="G17" i="6"/>
  <c r="G14" i="6"/>
  <c r="J17" i="6"/>
  <c r="J13" i="6"/>
  <c r="J11" i="6"/>
  <c r="M4" i="6"/>
  <c r="J16" i="6"/>
  <c r="G26" i="6"/>
  <c r="N26" i="6" s="1"/>
  <c r="M30" i="6"/>
  <c r="J5" i="6"/>
  <c r="J8" i="6"/>
  <c r="G24" i="6"/>
  <c r="J28" i="6"/>
  <c r="J31" i="6"/>
  <c r="J12" i="6"/>
  <c r="M15" i="6"/>
  <c r="M3" i="6"/>
  <c r="J10" i="6"/>
  <c r="M9" i="6"/>
  <c r="M10" i="6"/>
  <c r="M25" i="6"/>
  <c r="G25" i="6"/>
  <c r="J3" i="6"/>
  <c r="M8" i="6"/>
  <c r="M11" i="6"/>
  <c r="G19" i="6"/>
  <c r="N19" i="6" s="1"/>
  <c r="G22" i="6"/>
  <c r="J25" i="6"/>
  <c r="G30" i="6"/>
  <c r="G3" i="6"/>
  <c r="G5" i="6"/>
  <c r="N5" i="6" s="1"/>
  <c r="G13" i="6"/>
  <c r="G16" i="6"/>
  <c r="J19" i="6"/>
  <c r="J22" i="6"/>
  <c r="G27" i="6"/>
  <c r="J30" i="6"/>
  <c r="J27" i="6"/>
  <c r="G15" i="6"/>
  <c r="J15" i="6"/>
  <c r="J4" i="6"/>
  <c r="N4" i="6" s="1"/>
  <c r="J9" i="6"/>
  <c r="G23" i="6"/>
  <c r="G6" i="6"/>
  <c r="N6" i="6" s="1"/>
  <c r="M12" i="6"/>
  <c r="G20" i="6"/>
  <c r="J23" i="6"/>
  <c r="G28" i="6"/>
  <c r="G31" i="6"/>
  <c r="J31" i="4"/>
  <c r="M32" i="4"/>
  <c r="M30" i="4"/>
  <c r="G32" i="4"/>
  <c r="N32" i="4" s="1"/>
  <c r="J28" i="4"/>
  <c r="N28" i="4" s="1"/>
  <c r="J29" i="4"/>
  <c r="G31" i="4"/>
  <c r="N31" i="4" s="1"/>
  <c r="M29" i="4"/>
  <c r="N29" i="4" s="1"/>
  <c r="G30" i="4"/>
  <c r="G27" i="4"/>
  <c r="J27" i="4"/>
  <c r="G26" i="4"/>
  <c r="N26" i="4" s="1"/>
  <c r="G25" i="4"/>
  <c r="M25" i="4"/>
  <c r="G24" i="4"/>
  <c r="M24" i="4"/>
  <c r="M23" i="4"/>
  <c r="G23" i="4"/>
  <c r="G18" i="4"/>
  <c r="M21" i="4"/>
  <c r="N21" i="4" s="1"/>
  <c r="G22" i="4"/>
  <c r="J22" i="4"/>
  <c r="G19" i="4"/>
  <c r="G20" i="4"/>
  <c r="N15" i="4"/>
  <c r="N16" i="4"/>
  <c r="J17" i="4"/>
  <c r="N17" i="4" s="1"/>
  <c r="G13" i="4"/>
  <c r="J14" i="4"/>
  <c r="N14" i="4" s="1"/>
  <c r="M13" i="4"/>
  <c r="G10" i="4"/>
  <c r="N10" i="4" s="1"/>
  <c r="M18" i="4"/>
  <c r="M19" i="4"/>
  <c r="M20" i="4"/>
  <c r="G8" i="4"/>
  <c r="G11" i="4"/>
  <c r="N11" i="4" s="1"/>
  <c r="M11" i="4"/>
  <c r="G12" i="4"/>
  <c r="N12" i="4" s="1"/>
  <c r="G9" i="4"/>
  <c r="M8" i="4"/>
  <c r="M9" i="4"/>
  <c r="M10" i="4"/>
  <c r="J6" i="4"/>
  <c r="J7" i="4"/>
  <c r="M4" i="4"/>
  <c r="M5" i="4"/>
  <c r="G6" i="4"/>
  <c r="N6" i="4" s="1"/>
  <c r="G7" i="4"/>
  <c r="J3" i="4"/>
  <c r="G3" i="4"/>
  <c r="J5" i="4"/>
  <c r="G4" i="4"/>
  <c r="G5" i="4"/>
  <c r="N44" i="2"/>
  <c r="N52" i="2"/>
  <c r="C50" i="2"/>
  <c r="C46" i="2"/>
  <c r="C49" i="2"/>
  <c r="C36" i="2"/>
  <c r="C40" i="2"/>
  <c r="C39" i="2"/>
  <c r="N30" i="6" l="1"/>
  <c r="N31" i="6"/>
  <c r="N28" i="6"/>
  <c r="N24" i="6"/>
  <c r="N22" i="6"/>
  <c r="N20" i="6"/>
  <c r="N17" i="6"/>
  <c r="N16" i="6"/>
  <c r="N14" i="6"/>
  <c r="N13" i="6"/>
  <c r="N12" i="6"/>
  <c r="N10" i="6"/>
  <c r="N9" i="6"/>
  <c r="N8" i="6"/>
  <c r="N11" i="6"/>
  <c r="N15" i="6"/>
  <c r="N27" i="6"/>
  <c r="N25" i="6"/>
  <c r="N23" i="6"/>
  <c r="N3" i="6"/>
  <c r="N30" i="4"/>
  <c r="N27" i="4"/>
  <c r="N25" i="4"/>
  <c r="N24" i="4"/>
  <c r="N23" i="4"/>
  <c r="N22" i="4"/>
  <c r="N20" i="4"/>
  <c r="N19" i="4"/>
  <c r="N18" i="4"/>
  <c r="N13" i="4"/>
  <c r="N9" i="4"/>
  <c r="N8" i="4"/>
  <c r="N7" i="4"/>
  <c r="N3" i="4"/>
  <c r="N4" i="4"/>
  <c r="N5" i="4"/>
  <c r="C47" i="2"/>
  <c r="C52" i="2" s="1"/>
  <c r="C51" i="2"/>
  <c r="C37" i="2"/>
  <c r="C42" i="2" s="1"/>
  <c r="C41" i="2"/>
  <c r="H21" i="3"/>
  <c r="H22" i="3"/>
  <c r="I24" i="3"/>
  <c r="I25" i="3"/>
  <c r="Q3" i="2"/>
  <c r="R3" i="2"/>
  <c r="G3" i="2" s="1"/>
  <c r="C4" i="2"/>
  <c r="C5" i="2" s="1"/>
  <c r="D4" i="2"/>
  <c r="D5" i="2" s="1"/>
  <c r="D6" i="2" s="1"/>
  <c r="D7" i="2" s="1"/>
  <c r="G4" i="2"/>
  <c r="N4" i="2" s="1"/>
  <c r="J4" i="2"/>
  <c r="M4" i="2"/>
  <c r="Q4" i="2"/>
  <c r="R4" i="2"/>
  <c r="Q5" i="2"/>
  <c r="S3" i="2" s="1"/>
  <c r="R5" i="2"/>
  <c r="J5" i="2" s="1"/>
  <c r="Q6" i="2"/>
  <c r="R6" i="2"/>
  <c r="M6" i="2" s="1"/>
  <c r="G7" i="2"/>
  <c r="N7" i="2" s="1"/>
  <c r="J7" i="2"/>
  <c r="M7" i="2"/>
  <c r="Q7" i="2"/>
  <c r="R7" i="2"/>
  <c r="C8" i="2"/>
  <c r="Q8" i="2"/>
  <c r="R8" i="2"/>
  <c r="G8" i="2" s="1"/>
  <c r="C9" i="2"/>
  <c r="D9" i="2"/>
  <c r="D10" i="2" s="1"/>
  <c r="D11" i="2" s="1"/>
  <c r="D12" i="2" s="1"/>
  <c r="Q9" i="2"/>
  <c r="R9" i="2"/>
  <c r="G9" i="2" s="1"/>
  <c r="G10" i="2"/>
  <c r="J10" i="2"/>
  <c r="M10" i="2"/>
  <c r="N10" i="2"/>
  <c r="Q10" i="2"/>
  <c r="R10" i="2"/>
  <c r="Q11" i="2"/>
  <c r="R11" i="2"/>
  <c r="G11" i="2" s="1"/>
  <c r="Q12" i="2"/>
  <c r="R12" i="2"/>
  <c r="G12" i="2" s="1"/>
  <c r="Q13" i="2"/>
  <c r="G13" i="2" s="1"/>
  <c r="B14" i="2"/>
  <c r="C14" i="2"/>
  <c r="D14" i="2"/>
  <c r="Q14" i="2"/>
  <c r="G14" i="2" s="1"/>
  <c r="B15" i="2"/>
  <c r="C15" i="2"/>
  <c r="C16" i="2" s="1"/>
  <c r="D15" i="2"/>
  <c r="D16" i="2" s="1"/>
  <c r="D17" i="2" s="1"/>
  <c r="G15" i="2"/>
  <c r="J15" i="2"/>
  <c r="Q15" i="2"/>
  <c r="M15" i="2" s="1"/>
  <c r="B16" i="2"/>
  <c r="Q16" i="2"/>
  <c r="G16" i="2" s="1"/>
  <c r="B17" i="2"/>
  <c r="Q17" i="2"/>
  <c r="B18" i="2"/>
  <c r="C18" i="2"/>
  <c r="Q18" i="2"/>
  <c r="B19" i="2"/>
  <c r="C19" i="2"/>
  <c r="D19" i="2"/>
  <c r="Q19" i="2"/>
  <c r="B20" i="2"/>
  <c r="D20" i="2"/>
  <c r="Q20" i="2"/>
  <c r="B21" i="2"/>
  <c r="D21" i="2"/>
  <c r="D22" i="2" s="1"/>
  <c r="Q21" i="2"/>
  <c r="G21" i="2" s="1"/>
  <c r="B22" i="2"/>
  <c r="Q22" i="2"/>
  <c r="G22" i="2" s="1"/>
  <c r="Q23" i="2"/>
  <c r="M23" i="2" s="1"/>
  <c r="C24" i="2"/>
  <c r="C25" i="2" s="1"/>
  <c r="D24" i="2"/>
  <c r="D25" i="2" s="1"/>
  <c r="D26" i="2" s="1"/>
  <c r="D27" i="2" s="1"/>
  <c r="G24" i="2"/>
  <c r="J24" i="2"/>
  <c r="M24" i="2"/>
  <c r="N24" i="2"/>
  <c r="Q24" i="2"/>
  <c r="Q25" i="2"/>
  <c r="J25" i="2" s="1"/>
  <c r="G26" i="2"/>
  <c r="J26" i="2"/>
  <c r="Q26" i="2"/>
  <c r="M26" i="2" s="1"/>
  <c r="Q27" i="2"/>
  <c r="G27" i="2" s="1"/>
  <c r="C28" i="2"/>
  <c r="G28" i="2"/>
  <c r="Q28" i="2"/>
  <c r="J28" i="2" s="1"/>
  <c r="D29" i="2"/>
  <c r="D30" i="2" s="1"/>
  <c r="D31" i="2" s="1"/>
  <c r="D32" i="2" s="1"/>
  <c r="Q29" i="2"/>
  <c r="G29" i="2" s="1"/>
  <c r="Q30" i="2"/>
  <c r="G30" i="2" s="1"/>
  <c r="G31" i="2"/>
  <c r="J31" i="2"/>
  <c r="M31" i="2"/>
  <c r="N31" i="2"/>
  <c r="Q31" i="2"/>
  <c r="Q32" i="2"/>
  <c r="G32" i="2" s="1"/>
  <c r="M22" i="2" l="1"/>
  <c r="J22" i="2"/>
  <c r="C26" i="2"/>
  <c r="C30" i="2"/>
  <c r="N15" i="2"/>
  <c r="N26" i="2"/>
  <c r="N29" i="2"/>
  <c r="C10" i="2"/>
  <c r="C6" i="2"/>
  <c r="N3" i="2"/>
  <c r="C21" i="2"/>
  <c r="C17" i="2"/>
  <c r="C22" i="2" s="1"/>
  <c r="N30" i="2"/>
  <c r="N9" i="2"/>
  <c r="M27" i="2"/>
  <c r="J13" i="2"/>
  <c r="N13" i="2" s="1"/>
  <c r="M5" i="2"/>
  <c r="M8" i="2"/>
  <c r="M32" i="2"/>
  <c r="J8" i="2"/>
  <c r="N8" i="2" s="1"/>
  <c r="J32" i="2"/>
  <c r="N32" i="2" s="1"/>
  <c r="M29" i="2"/>
  <c r="J29" i="2"/>
  <c r="J16" i="2"/>
  <c r="N16" i="2" s="1"/>
  <c r="J27" i="2"/>
  <c r="N27" i="2" s="1"/>
  <c r="C20" i="2"/>
  <c r="M11" i="2"/>
  <c r="G5" i="2"/>
  <c r="N5" i="2" s="1"/>
  <c r="C29" i="2"/>
  <c r="M14" i="2"/>
  <c r="M25" i="2"/>
  <c r="M30" i="2"/>
  <c r="G25" i="2"/>
  <c r="N25" i="2" s="1"/>
  <c r="J14" i="2"/>
  <c r="N14" i="2" s="1"/>
  <c r="J30" i="2"/>
  <c r="J23" i="2"/>
  <c r="M21" i="2"/>
  <c r="M12" i="2"/>
  <c r="M9" i="2"/>
  <c r="J6" i="2"/>
  <c r="M3" i="2"/>
  <c r="M28" i="2"/>
  <c r="N28" i="2" s="1"/>
  <c r="G23" i="2"/>
  <c r="J21" i="2"/>
  <c r="J12" i="2"/>
  <c r="N12" i="2" s="1"/>
  <c r="J9" i="2"/>
  <c r="G6" i="2"/>
  <c r="J3" i="2"/>
  <c r="M16" i="2"/>
  <c r="M13" i="2"/>
  <c r="J11" i="2"/>
  <c r="N11" i="2" s="1"/>
  <c r="U17" i="2" l="1"/>
  <c r="V17" i="2"/>
  <c r="W17" i="2" s="1"/>
  <c r="C11" i="2"/>
  <c r="C7" i="2"/>
  <c r="C12" i="2" s="1"/>
  <c r="N6" i="2"/>
  <c r="V16" i="2" s="1"/>
  <c r="N23" i="2"/>
  <c r="C27" i="2"/>
  <c r="C32" i="2" s="1"/>
  <c r="C31" i="2"/>
  <c r="U16" i="2" l="1"/>
  <c r="U18" i="2" s="1"/>
  <c r="W16" i="2" l="1"/>
</calcChain>
</file>

<file path=xl/sharedStrings.xml><?xml version="1.0" encoding="utf-8"?>
<sst xmlns="http://schemas.openxmlformats.org/spreadsheetml/2006/main" count="299" uniqueCount="56">
  <si>
    <t>Technical replicate 1</t>
  </si>
  <si>
    <t>Technical replicate 2</t>
  </si>
  <si>
    <t>Technical replicate 3</t>
  </si>
  <si>
    <t>Sample</t>
  </si>
  <si>
    <t>Group</t>
  </si>
  <si>
    <t>Mouse</t>
  </si>
  <si>
    <t>Dil</t>
  </si>
  <si>
    <t>Count</t>
  </si>
  <si>
    <t>CFU</t>
  </si>
  <si>
    <t>Average</t>
  </si>
  <si>
    <t>mg fecal pellet</t>
  </si>
  <si>
    <t>vol PBS</t>
  </si>
  <si>
    <t>dilution factor</t>
  </si>
  <si>
    <t>Spot size (mL)</t>
  </si>
  <si>
    <t>Notes</t>
  </si>
  <si>
    <t xml:space="preserve">5/1 CFU sample resuspended in 500 uL pbs. </t>
  </si>
  <si>
    <t>inulin/xylan/pectin diet mice had diahrea on 4/29 that resolved to soft stool 5/1</t>
  </si>
  <si>
    <t>was still hard to get sufficient samples from ixp mice, didn't poop as much</t>
  </si>
  <si>
    <t>got enough for CFU, 16S. Separate enough for GC where available</t>
  </si>
  <si>
    <t>for ixp diet only collected enough for 16s and CFU for 4/5 mice. 1/5 had enough for GC too.</t>
  </si>
  <si>
    <t>for cell diet only collected enough for 16S, CFU, and GC for 4/5 mice. 1/5 had extra "fecal" retain, which would be the amount needed for toxin/pH</t>
  </si>
  <si>
    <t>1) collect more poop and hope that ixp poop more once equilibriated</t>
  </si>
  <si>
    <t>2) collect fecal samples every day after second gavage?</t>
  </si>
  <si>
    <t>need to run all assays all days?</t>
  </si>
  <si>
    <t>Minerva</t>
  </si>
  <si>
    <t>Venturelli</t>
  </si>
  <si>
    <t>9 weeks:</t>
  </si>
  <si>
    <t>Age (weeks)</t>
  </si>
  <si>
    <t>Start diet</t>
  </si>
  <si>
    <t>DOB</t>
  </si>
  <si>
    <t>Cellulose</t>
  </si>
  <si>
    <t>Inu/Pec/Xyl</t>
  </si>
  <si>
    <t>5/6 sample</t>
  </si>
  <si>
    <t>?</t>
  </si>
  <si>
    <t>Nan</t>
  </si>
  <si>
    <t>nan</t>
  </si>
  <si>
    <t>NaN</t>
  </si>
  <si>
    <t>Ai</t>
  </si>
  <si>
    <t>Aii</t>
  </si>
  <si>
    <t>Bi</t>
  </si>
  <si>
    <t>Bii</t>
  </si>
  <si>
    <t>Ci</t>
  </si>
  <si>
    <t>7cd</t>
  </si>
  <si>
    <t>Rows A-H dilutions 1-9</t>
  </si>
  <si>
    <t>LB for +O2</t>
  </si>
  <si>
    <t>total anaerobic cfu</t>
  </si>
  <si>
    <t>Sample1</t>
  </si>
  <si>
    <t>Sample2</t>
  </si>
  <si>
    <t>Sample3</t>
  </si>
  <si>
    <t>Sample4</t>
  </si>
  <si>
    <t>Sample5</t>
  </si>
  <si>
    <t>Sample6</t>
  </si>
  <si>
    <t>Diet</t>
  </si>
  <si>
    <t>IPX</t>
  </si>
  <si>
    <t>CEL</t>
  </si>
  <si>
    <t>XYL1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</si>
</sst>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Aptos Narrow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11" fontId="0" fillId="0" borderId="0" xfId="0" applyNumberFormat="1"/>
    <xf numFmtId="2" fontId="0" fillId="0" borderId="0" xfId="0" applyNumberFormat="1"/>
    <xf numFmtId="0" fontId="0" fillId="0" borderId="2" xfId="0" applyBorder="1"/>
    <xf numFmtId="11" fontId="1" fillId="0" borderId="0" xfId="0" applyNumberFormat="1" applyFont="1"/>
    <xf numFmtId="11" fontId="0" fillId="0" borderId="1" xfId="0" applyNumberFormat="1" applyBorder="1"/>
    <xf numFmtId="11" fontId="1" fillId="0" borderId="1" xfId="0" applyNumberFormat="1" applyFont="1" applyBorder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1" fontId="2" fillId="0" borderId="0" xfId="0" applyNumberFormat="1" applyFont="1"/>
    <xf numFmtId="11" fontId="2" fillId="0" borderId="1" xfId="0" applyNumberFormat="1" applyFont="1" applyBorder="1"/>
    <xf numFmtId="11" fontId="2" fillId="0" borderId="2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11" fontId="0" fillId="0" borderId="3" xfId="0" applyNumberFormat="1" applyBorder="1"/>
    <xf numFmtId="11" fontId="1" fillId="0" borderId="3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11" fontId="0" fillId="0" borderId="4" xfId="0" applyNumberFormat="1" applyBorder="1"/>
    <xf numFmtId="11" fontId="1" fillId="0" borderId="4" xfId="0" applyNumberFormat="1" applyFont="1" applyBorder="1"/>
    <xf numFmtId="11" fontId="1" fillId="3" borderId="0" xfId="0" applyNumberFormat="1" applyFont="1" applyFill="1" applyAlignment="1">
      <alignment horizontal="center"/>
    </xf>
    <xf numFmtId="11" fontId="1" fillId="4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11" fontId="1" fillId="0" borderId="2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CFU_commMinus_repeat!$N$2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CFU_commMinus_repeat!$N$3:$N$12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1703333333.3333333</c:v>
                </c:pt>
                <c:pt idx="6">
                  <c:v>1494814814.8148148</c:v>
                </c:pt>
                <c:pt idx="7">
                  <c:v>1818000000</c:v>
                </c:pt>
                <c:pt idx="8">
                  <c:v>1621259259.2592592</c:v>
                </c:pt>
                <c:pt idx="9">
                  <c:v>544000000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2-2944-A1BE-660875AFE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344336"/>
        <c:axId val="1441329792"/>
      </c:barChart>
      <c:catAx>
        <c:axId val="144134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29792"/>
        <c:crosses val="autoZero"/>
        <c:auto val="1"/>
        <c:lblAlgn val="ctr"/>
        <c:lblOffset val="100"/>
        <c:noMultiLvlLbl val="0"/>
      </c:catAx>
      <c:valAx>
        <c:axId val="1441329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4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CFU_commMinus!$N$2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CFU_commMinus!$N$3:$N$12</c:f>
              <c:numCache>
                <c:formatCode>0.00E+00</c:formatCode>
                <c:ptCount val="10"/>
                <c:pt idx="0">
                  <c:v>434571428.5714286</c:v>
                </c:pt>
                <c:pt idx="1">
                  <c:v>152400000</c:v>
                </c:pt>
                <c:pt idx="2">
                  <c:v>387600000</c:v>
                </c:pt>
                <c:pt idx="3">
                  <c:v>0</c:v>
                </c:pt>
                <c:pt idx="4">
                  <c:v>748000000</c:v>
                </c:pt>
                <c:pt idx="5">
                  <c:v>917428571.42857134</c:v>
                </c:pt>
                <c:pt idx="6">
                  <c:v>476000000</c:v>
                </c:pt>
                <c:pt idx="7">
                  <c:v>4529666666.666667</c:v>
                </c:pt>
                <c:pt idx="8">
                  <c:v>6120000000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3-2247-85BF-C78855B1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344336"/>
        <c:axId val="1441329792"/>
      </c:barChart>
      <c:catAx>
        <c:axId val="144134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29792"/>
        <c:crosses val="autoZero"/>
        <c:auto val="1"/>
        <c:lblAlgn val="ctr"/>
        <c:lblOffset val="100"/>
        <c:noMultiLvlLbl val="0"/>
      </c:catAx>
      <c:valAx>
        <c:axId val="1441329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4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CFU_commPlus!$N$2</c:f>
              <c:strCache>
                <c:ptCount val="1"/>
                <c:pt idx="0">
                  <c:v>Average</c:v>
                </c:pt>
              </c:strCache>
            </c:strRef>
          </c:tx>
          <c:invertIfNegative val="0"/>
          <c:val>
            <c:numRef>
              <c:f>CFU_commPlus!$N$3:$N$12</c:f>
              <c:numCache>
                <c:formatCode>0.00E+00</c:formatCode>
                <c:ptCount val="10"/>
                <c:pt idx="0">
                  <c:v>24360000000</c:v>
                </c:pt>
                <c:pt idx="1">
                  <c:v>48800000000</c:v>
                </c:pt>
                <c:pt idx="2">
                  <c:v>36511111111.111115</c:v>
                </c:pt>
                <c:pt idx="3">
                  <c:v>35312820512.820511</c:v>
                </c:pt>
                <c:pt idx="4">
                  <c:v>26398198198.1982</c:v>
                </c:pt>
                <c:pt idx="5">
                  <c:v>460363636.36363643</c:v>
                </c:pt>
                <c:pt idx="6">
                  <c:v>3513333333.3333335</c:v>
                </c:pt>
                <c:pt idx="7">
                  <c:v>1148000000</c:v>
                </c:pt>
                <c:pt idx="8">
                  <c:v>18311111111.111111</c:v>
                </c:pt>
                <c:pt idx="9">
                  <c:v>333333333.33333331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A-FE45-A1D4-0B357F097A35}"/>
            </c:ext>
          </c:extLst>
        </c:ser>
        <c:ser>
          <c:idx val="0"/>
          <c:order val="1"/>
          <c:tx>
            <c:strRef>
              <c:f>CFU_commPlus!$N$2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CFU_commPlus!$N$3:$N$12</c:f>
              <c:numCache>
                <c:formatCode>0.00E+00</c:formatCode>
                <c:ptCount val="10"/>
                <c:pt idx="0">
                  <c:v>24360000000</c:v>
                </c:pt>
                <c:pt idx="1">
                  <c:v>48800000000</c:v>
                </c:pt>
                <c:pt idx="2">
                  <c:v>36511111111.111115</c:v>
                </c:pt>
                <c:pt idx="3">
                  <c:v>35312820512.820511</c:v>
                </c:pt>
                <c:pt idx="4">
                  <c:v>26398198198.1982</c:v>
                </c:pt>
                <c:pt idx="5">
                  <c:v>460363636.36363643</c:v>
                </c:pt>
                <c:pt idx="6">
                  <c:v>3513333333.3333335</c:v>
                </c:pt>
                <c:pt idx="7">
                  <c:v>1148000000</c:v>
                </c:pt>
                <c:pt idx="8">
                  <c:v>18311111111.111111</c:v>
                </c:pt>
                <c:pt idx="9">
                  <c:v>333333333.33333331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A-FE45-A1D4-0B357F097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344336"/>
        <c:axId val="1441329792"/>
      </c:barChart>
      <c:catAx>
        <c:axId val="144134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29792"/>
        <c:crosses val="autoZero"/>
        <c:auto val="1"/>
        <c:lblAlgn val="ctr"/>
        <c:lblOffset val="100"/>
        <c:noMultiLvlLbl val="0"/>
      </c:catAx>
      <c:valAx>
        <c:axId val="1441329792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4433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CFU_commPlus!$N$2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CFU_commPlus!$N$3:$N$12</c:f>
              <c:numCache>
                <c:formatCode>0.00E+00</c:formatCode>
                <c:ptCount val="10"/>
                <c:pt idx="0">
                  <c:v>24360000000</c:v>
                </c:pt>
                <c:pt idx="1">
                  <c:v>48800000000</c:v>
                </c:pt>
                <c:pt idx="2">
                  <c:v>36511111111.111115</c:v>
                </c:pt>
                <c:pt idx="3">
                  <c:v>35312820512.820511</c:v>
                </c:pt>
                <c:pt idx="4">
                  <c:v>26398198198.1982</c:v>
                </c:pt>
                <c:pt idx="5">
                  <c:v>460363636.36363643</c:v>
                </c:pt>
                <c:pt idx="6">
                  <c:v>3513333333.3333335</c:v>
                </c:pt>
                <c:pt idx="7">
                  <c:v>1148000000</c:v>
                </c:pt>
                <c:pt idx="8">
                  <c:v>18311111111.111111</c:v>
                </c:pt>
                <c:pt idx="9">
                  <c:v>333333333.33333331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4-8A42-A844-772B705C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344336"/>
        <c:axId val="1441329792"/>
      </c:barChart>
      <c:catAx>
        <c:axId val="144134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29792"/>
        <c:crosses val="autoZero"/>
        <c:auto val="1"/>
        <c:lblAlgn val="ctr"/>
        <c:lblOffset val="100"/>
        <c:noMultiLvlLbl val="0"/>
      </c:catAx>
      <c:valAx>
        <c:axId val="1441329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4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49781277340334"/>
          <c:y val="0.11574074074074074"/>
          <c:w val="0.77416885389326329"/>
          <c:h val="0.73614173228346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misc_plots!$B$1</c:f>
              <c:strCache>
                <c:ptCount val="1"/>
                <c:pt idx="0">
                  <c:v>Inu/Pec/Xyl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misc_plots!$B$2:$B$11</c:f>
              <c:numCache>
                <c:formatCode>0.00E+00</c:formatCode>
                <c:ptCount val="10"/>
                <c:pt idx="0">
                  <c:v>107000000000</c:v>
                </c:pt>
                <c:pt idx="1">
                  <c:v>161000000000</c:v>
                </c:pt>
                <c:pt idx="2">
                  <c:v>151000000000</c:v>
                </c:pt>
                <c:pt idx="3">
                  <c:v>181000000000</c:v>
                </c:pt>
                <c:pt idx="4">
                  <c:v>84300000000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2-B948-A9CA-E02B243E7C46}"/>
            </c:ext>
          </c:extLst>
        </c:ser>
        <c:ser>
          <c:idx val="1"/>
          <c:order val="1"/>
          <c:tx>
            <c:strRef>
              <c:f>misc_plots!$C$1</c:f>
              <c:strCache>
                <c:ptCount val="1"/>
                <c:pt idx="0">
                  <c:v>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misc_plots!$C$2:$C$11</c:f>
              <c:numCache>
                <c:formatCode>General</c:formatCode>
                <c:ptCount val="10"/>
                <c:pt idx="5" formatCode="0.00E+00">
                  <c:v>2970000000</c:v>
                </c:pt>
                <c:pt idx="6" formatCode="0.00E+00">
                  <c:v>8580000000</c:v>
                </c:pt>
                <c:pt idx="7" formatCode="0.00E+00">
                  <c:v>8570000000</c:v>
                </c:pt>
                <c:pt idx="8" formatCode="0.00E+00">
                  <c:v>7670000000</c:v>
                </c:pt>
                <c:pt idx="9" formatCode="0.00E+00">
                  <c:v>9350000000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2-B948-A9CA-E02B243E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00175"/>
        <c:axId val="130379903"/>
      </c:barChart>
      <c:catAx>
        <c:axId val="8170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9903"/>
        <c:crosses val="autoZero"/>
        <c:auto val="1"/>
        <c:lblAlgn val="ctr"/>
        <c:lblOffset val="100"/>
        <c:noMultiLvlLbl val="0"/>
      </c:catAx>
      <c:valAx>
        <c:axId val="130379903"/>
        <c:scaling>
          <c:logBase val="10"/>
          <c:orientation val="minMax"/>
          <c:min val="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CFU/mg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26</xdr:row>
      <xdr:rowOff>0</xdr:rowOff>
    </xdr:from>
    <xdr:to>
      <xdr:col>25</xdr:col>
      <xdr:colOff>444500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A23A1-CCF1-0944-BBF7-68B131E55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26</xdr:row>
      <xdr:rowOff>0</xdr:rowOff>
    </xdr:from>
    <xdr:to>
      <xdr:col>25</xdr:col>
      <xdr:colOff>444500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C0E4C-9C14-2440-BB97-C364709F9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412750</xdr:colOff>
      <xdr:row>0</xdr:row>
      <xdr:rowOff>165100</xdr:rowOff>
    </xdr:from>
    <xdr:to>
      <xdr:col>25</xdr:col>
      <xdr:colOff>31750</xdr:colOff>
      <xdr:row>12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39806-C944-6E47-8849-B0919BDBE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26</xdr:row>
      <xdr:rowOff>0</xdr:rowOff>
    </xdr:from>
    <xdr:to>
      <xdr:col>25</xdr:col>
      <xdr:colOff>444500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1A574-9A47-5F49-B369-2784D77FA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3</xdr:row>
      <xdr:rowOff>139700</xdr:rowOff>
    </xdr:from>
    <xdr:to>
      <xdr:col>10</xdr:col>
      <xdr:colOff>654050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084B7-BD4F-BB49-828E-D90912920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9A6B-B99B-2A47-9007-9C8ED46C74B0}">
  <dimension ref="A1:AA115"/>
  <sheetViews>
    <sheetView tabSelected="1" topLeftCell="A12" zoomScale="94" workbookViewId="0">
      <selection activeCell="O31" sqref="O31"/>
    </sheetView>
  </sheetViews>
  <sheetFormatPr baseColWidth="10" defaultRowHeight="16" x14ac:dyDescent="0.2"/>
  <cols>
    <col min="2" max="6" width="11.1640625" bestFit="1" customWidth="1"/>
    <col min="7" max="7" width="12.1640625" bestFit="1" customWidth="1"/>
    <col min="8" max="9" width="11.1640625" bestFit="1" customWidth="1"/>
    <col min="10" max="10" width="12.1640625" bestFit="1" customWidth="1"/>
    <col min="11" max="12" width="11.1640625" bestFit="1" customWidth="1"/>
    <col min="13" max="13" width="13.33203125" bestFit="1" customWidth="1"/>
    <col min="14" max="14" width="11.5" bestFit="1" customWidth="1"/>
    <col min="15" max="18" width="11" bestFit="1" customWidth="1"/>
    <col min="21" max="21" width="11.1640625" bestFit="1" customWidth="1"/>
  </cols>
  <sheetData>
    <row r="1" spans="2:27" x14ac:dyDescent="0.2">
      <c r="E1" t="s">
        <v>0</v>
      </c>
      <c r="H1" t="s">
        <v>1</v>
      </c>
      <c r="K1" t="s">
        <v>2</v>
      </c>
    </row>
    <row r="2" spans="2:27" x14ac:dyDescent="0.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s="8" t="s">
        <v>9</v>
      </c>
      <c r="O2" t="s">
        <v>10</v>
      </c>
      <c r="P2" t="s">
        <v>11</v>
      </c>
      <c r="Q2" t="s">
        <v>12</v>
      </c>
      <c r="R2" t="s">
        <v>13</v>
      </c>
      <c r="AA2" t="s">
        <v>14</v>
      </c>
    </row>
    <row r="3" spans="2:27" x14ac:dyDescent="0.2">
      <c r="B3">
        <v>1</v>
      </c>
      <c r="C3">
        <v>3</v>
      </c>
      <c r="D3">
        <v>1</v>
      </c>
      <c r="G3" t="e">
        <f t="shared" ref="G3:G32" si="0">F3*10^E3/R3*Q3</f>
        <v>#DIV/0!</v>
      </c>
      <c r="J3" t="e">
        <f t="shared" ref="J3:J32" si="1">I3*10^H3/R3*Q3</f>
        <v>#DIV/0!</v>
      </c>
      <c r="M3" t="e">
        <f t="shared" ref="M3:M32" si="2">L3*10^K3/R3*Q3</f>
        <v>#DIV/0!</v>
      </c>
      <c r="N3" s="5" t="e">
        <f t="shared" ref="N3:N32" si="3">AVERAGE(G3,J3,M3)</f>
        <v>#DIV/0!</v>
      </c>
      <c r="O3" s="34"/>
      <c r="Q3" t="e">
        <f t="shared" ref="Q3:Q32" si="4">(P3+O3)/O3</f>
        <v>#DIV/0!</v>
      </c>
      <c r="T3" t="s">
        <v>43</v>
      </c>
      <c r="AA3" t="s">
        <v>15</v>
      </c>
    </row>
    <row r="4" spans="2:27" x14ac:dyDescent="0.2">
      <c r="B4">
        <v>1</v>
      </c>
      <c r="C4">
        <v>3</v>
      </c>
      <c r="D4">
        <f>D3+1</f>
        <v>2</v>
      </c>
      <c r="G4" t="e">
        <f t="shared" si="0"/>
        <v>#DIV/0!</v>
      </c>
      <c r="J4" t="e">
        <f t="shared" si="1"/>
        <v>#DIV/0!</v>
      </c>
      <c r="M4" t="e">
        <f t="shared" si="2"/>
        <v>#DIV/0!</v>
      </c>
      <c r="N4" s="5" t="e">
        <f t="shared" si="3"/>
        <v>#DIV/0!</v>
      </c>
      <c r="O4" s="15"/>
      <c r="Q4" t="e">
        <f t="shared" si="4"/>
        <v>#DIV/0!</v>
      </c>
      <c r="AA4" t="s">
        <v>16</v>
      </c>
    </row>
    <row r="5" spans="2:27" x14ac:dyDescent="0.2">
      <c r="B5">
        <v>1</v>
      </c>
      <c r="C5">
        <v>3</v>
      </c>
      <c r="D5">
        <f>D4+1</f>
        <v>3</v>
      </c>
      <c r="G5" t="e">
        <f t="shared" si="0"/>
        <v>#DIV/0!</v>
      </c>
      <c r="J5" t="e">
        <f t="shared" si="1"/>
        <v>#DIV/0!</v>
      </c>
      <c r="M5" t="e">
        <f t="shared" si="2"/>
        <v>#DIV/0!</v>
      </c>
      <c r="N5" s="5" t="e">
        <f t="shared" si="3"/>
        <v>#DIV/0!</v>
      </c>
      <c r="O5" s="15"/>
      <c r="Q5" t="e">
        <f t="shared" si="4"/>
        <v>#DIV/0!</v>
      </c>
      <c r="AA5" t="s">
        <v>17</v>
      </c>
    </row>
    <row r="6" spans="2:27" x14ac:dyDescent="0.2">
      <c r="B6">
        <v>1</v>
      </c>
      <c r="C6">
        <v>3</v>
      </c>
      <c r="D6">
        <f>D5+1</f>
        <v>4</v>
      </c>
      <c r="G6" t="e">
        <f t="shared" si="0"/>
        <v>#DIV/0!</v>
      </c>
      <c r="J6" t="e">
        <f t="shared" si="1"/>
        <v>#DIV/0!</v>
      </c>
      <c r="M6" t="e">
        <f t="shared" si="2"/>
        <v>#DIV/0!</v>
      </c>
      <c r="N6" s="5" t="e">
        <f t="shared" si="3"/>
        <v>#DIV/0!</v>
      </c>
      <c r="O6" s="15"/>
      <c r="Q6" t="e">
        <f t="shared" si="4"/>
        <v>#DIV/0!</v>
      </c>
      <c r="AA6" t="s">
        <v>18</v>
      </c>
    </row>
    <row r="7" spans="2:27" x14ac:dyDescent="0.2">
      <c r="B7" s="4">
        <v>1</v>
      </c>
      <c r="C7">
        <v>3</v>
      </c>
      <c r="D7" s="4">
        <f>D6+1</f>
        <v>5</v>
      </c>
      <c r="E7" s="4"/>
      <c r="F7" s="4"/>
      <c r="G7" s="4" t="e">
        <f t="shared" si="0"/>
        <v>#DIV/0!</v>
      </c>
      <c r="H7" s="4"/>
      <c r="I7" s="4"/>
      <c r="J7" s="4" t="e">
        <f t="shared" si="1"/>
        <v>#DIV/0!</v>
      </c>
      <c r="K7" s="4"/>
      <c r="L7" s="4"/>
      <c r="M7" s="4" t="e">
        <f t="shared" si="2"/>
        <v>#DIV/0!</v>
      </c>
      <c r="N7" s="35" t="e">
        <f t="shared" si="3"/>
        <v>#DIV/0!</v>
      </c>
      <c r="O7" s="16"/>
      <c r="P7" s="4"/>
      <c r="Q7" s="4" t="e">
        <f t="shared" si="4"/>
        <v>#DIV/0!</v>
      </c>
      <c r="R7" s="4"/>
    </row>
    <row r="8" spans="2:27" x14ac:dyDescent="0.2">
      <c r="B8">
        <f>B3+1</f>
        <v>2</v>
      </c>
      <c r="C8">
        <v>3</v>
      </c>
      <c r="D8">
        <v>1</v>
      </c>
      <c r="E8">
        <v>4</v>
      </c>
      <c r="F8">
        <v>15</v>
      </c>
      <c r="G8">
        <f t="shared" si="0"/>
        <v>1393636363.6363635</v>
      </c>
      <c r="H8">
        <v>4</v>
      </c>
      <c r="I8">
        <v>28</v>
      </c>
      <c r="J8">
        <f t="shared" si="1"/>
        <v>2601454545.4545455</v>
      </c>
      <c r="K8">
        <v>4</v>
      </c>
      <c r="L8">
        <v>12</v>
      </c>
      <c r="M8">
        <f t="shared" si="2"/>
        <v>1114909090.909091</v>
      </c>
      <c r="N8" s="5">
        <f t="shared" si="3"/>
        <v>1703333333.3333333</v>
      </c>
      <c r="O8" s="34">
        <v>22</v>
      </c>
      <c r="P8">
        <v>1000</v>
      </c>
      <c r="Q8">
        <f t="shared" si="4"/>
        <v>46.454545454545453</v>
      </c>
      <c r="R8">
        <f t="shared" ref="R8:R32" si="5">5/1000</f>
        <v>5.0000000000000001E-3</v>
      </c>
      <c r="T8" t="s">
        <v>43</v>
      </c>
      <c r="AA8" t="s">
        <v>19</v>
      </c>
    </row>
    <row r="9" spans="2:27" x14ac:dyDescent="0.2">
      <c r="B9">
        <f t="shared" ref="B9:B32" si="6">B4+1</f>
        <v>2</v>
      </c>
      <c r="C9">
        <v>3</v>
      </c>
      <c r="D9">
        <f>D8+1</f>
        <v>2</v>
      </c>
      <c r="E9">
        <v>4</v>
      </c>
      <c r="F9">
        <v>8</v>
      </c>
      <c r="G9">
        <f t="shared" si="0"/>
        <v>1793777777.7777779</v>
      </c>
      <c r="H9">
        <v>4</v>
      </c>
      <c r="I9">
        <v>4</v>
      </c>
      <c r="J9">
        <f t="shared" si="1"/>
        <v>896888888.88888896</v>
      </c>
      <c r="K9">
        <v>4</v>
      </c>
      <c r="L9">
        <v>8</v>
      </c>
      <c r="M9">
        <f t="shared" si="2"/>
        <v>1793777777.7777779</v>
      </c>
      <c r="N9" s="5">
        <f t="shared" si="3"/>
        <v>1494814814.8148148</v>
      </c>
      <c r="O9" s="15">
        <v>9</v>
      </c>
      <c r="P9">
        <v>1000</v>
      </c>
      <c r="Q9">
        <f t="shared" si="4"/>
        <v>112.11111111111111</v>
      </c>
      <c r="R9">
        <f t="shared" si="5"/>
        <v>5.0000000000000001E-3</v>
      </c>
      <c r="AA9" t="s">
        <v>20</v>
      </c>
    </row>
    <row r="10" spans="2:27" x14ac:dyDescent="0.2">
      <c r="B10">
        <f t="shared" si="6"/>
        <v>2</v>
      </c>
      <c r="C10">
        <v>3</v>
      </c>
      <c r="D10">
        <f>D9+1</f>
        <v>3</v>
      </c>
      <c r="E10">
        <v>4</v>
      </c>
      <c r="F10">
        <v>9</v>
      </c>
      <c r="G10">
        <f t="shared" si="0"/>
        <v>1818000000</v>
      </c>
      <c r="H10">
        <v>4</v>
      </c>
      <c r="I10">
        <v>11</v>
      </c>
      <c r="J10">
        <f t="shared" si="1"/>
        <v>2222000000</v>
      </c>
      <c r="K10">
        <v>4</v>
      </c>
      <c r="L10">
        <v>7</v>
      </c>
      <c r="M10">
        <f t="shared" si="2"/>
        <v>1414000000</v>
      </c>
      <c r="N10" s="5">
        <f t="shared" si="3"/>
        <v>1818000000</v>
      </c>
      <c r="O10" s="15">
        <v>10</v>
      </c>
      <c r="P10">
        <v>1000</v>
      </c>
      <c r="Q10">
        <f t="shared" si="4"/>
        <v>101</v>
      </c>
      <c r="R10">
        <f t="shared" si="5"/>
        <v>5.0000000000000001E-3</v>
      </c>
    </row>
    <row r="11" spans="2:27" x14ac:dyDescent="0.2">
      <c r="B11">
        <f t="shared" si="6"/>
        <v>2</v>
      </c>
      <c r="C11">
        <v>3</v>
      </c>
      <c r="D11">
        <f>D10+1</f>
        <v>4</v>
      </c>
      <c r="E11">
        <v>4</v>
      </c>
      <c r="F11">
        <v>12</v>
      </c>
      <c r="G11">
        <f t="shared" si="0"/>
        <v>1357333333.3333333</v>
      </c>
      <c r="H11">
        <v>4</v>
      </c>
      <c r="I11">
        <v>18</v>
      </c>
      <c r="J11">
        <f t="shared" si="1"/>
        <v>2036000000</v>
      </c>
      <c r="K11">
        <v>4</v>
      </c>
      <c r="L11">
        <v>13</v>
      </c>
      <c r="M11">
        <f t="shared" si="2"/>
        <v>1470444444.4444444</v>
      </c>
      <c r="N11" s="5">
        <f t="shared" si="3"/>
        <v>1621259259.2592592</v>
      </c>
      <c r="O11" s="15">
        <v>18</v>
      </c>
      <c r="P11">
        <v>1000</v>
      </c>
      <c r="Q11">
        <f t="shared" si="4"/>
        <v>56.555555555555557</v>
      </c>
      <c r="R11">
        <f t="shared" si="5"/>
        <v>5.0000000000000001E-3</v>
      </c>
      <c r="AA11" t="s">
        <v>21</v>
      </c>
    </row>
    <row r="12" spans="2:27" x14ac:dyDescent="0.2">
      <c r="B12">
        <f t="shared" si="6"/>
        <v>2</v>
      </c>
      <c r="C12">
        <v>3</v>
      </c>
      <c r="D12" s="4">
        <f>D11+1</f>
        <v>5</v>
      </c>
      <c r="E12" s="4">
        <v>4</v>
      </c>
      <c r="F12" s="4">
        <v>3</v>
      </c>
      <c r="G12" s="4">
        <f t="shared" si="0"/>
        <v>306000000</v>
      </c>
      <c r="H12" s="4">
        <v>4</v>
      </c>
      <c r="I12" s="4">
        <v>3</v>
      </c>
      <c r="J12" s="4">
        <f t="shared" si="1"/>
        <v>306000000</v>
      </c>
      <c r="K12" s="4">
        <v>4</v>
      </c>
      <c r="L12" s="4">
        <v>10</v>
      </c>
      <c r="M12" s="4">
        <f t="shared" si="2"/>
        <v>1020000000</v>
      </c>
      <c r="N12" s="35">
        <f t="shared" si="3"/>
        <v>544000000</v>
      </c>
      <c r="O12" s="16">
        <v>20</v>
      </c>
      <c r="P12" s="4">
        <v>1000</v>
      </c>
      <c r="Q12" s="4">
        <f t="shared" si="4"/>
        <v>51</v>
      </c>
      <c r="R12" s="4">
        <f t="shared" si="5"/>
        <v>5.0000000000000001E-3</v>
      </c>
      <c r="AA12" t="s">
        <v>22</v>
      </c>
    </row>
    <row r="13" spans="2:27" x14ac:dyDescent="0.2">
      <c r="B13">
        <f>B8+1</f>
        <v>3</v>
      </c>
      <c r="C13">
        <v>3</v>
      </c>
      <c r="D13">
        <v>1</v>
      </c>
      <c r="E13">
        <v>3</v>
      </c>
      <c r="F13">
        <v>18</v>
      </c>
      <c r="G13">
        <f t="shared" si="0"/>
        <v>183600000</v>
      </c>
      <c r="H13">
        <v>3</v>
      </c>
      <c r="I13">
        <v>16</v>
      </c>
      <c r="J13">
        <f t="shared" si="1"/>
        <v>163200000</v>
      </c>
      <c r="K13">
        <v>3</v>
      </c>
      <c r="L13">
        <v>14</v>
      </c>
      <c r="M13">
        <f t="shared" si="2"/>
        <v>142800000</v>
      </c>
      <c r="N13" s="5">
        <f t="shared" si="3"/>
        <v>163200000</v>
      </c>
      <c r="O13" s="44">
        <v>20</v>
      </c>
      <c r="P13">
        <v>1000</v>
      </c>
      <c r="Q13">
        <f t="shared" si="4"/>
        <v>51</v>
      </c>
      <c r="R13">
        <f t="shared" si="5"/>
        <v>5.0000000000000001E-3</v>
      </c>
      <c r="AA13" t="s">
        <v>23</v>
      </c>
    </row>
    <row r="14" spans="2:27" x14ac:dyDescent="0.2">
      <c r="B14">
        <f t="shared" si="6"/>
        <v>3</v>
      </c>
      <c r="C14">
        <v>3</v>
      </c>
      <c r="D14">
        <f>D13+1</f>
        <v>2</v>
      </c>
      <c r="E14">
        <v>4</v>
      </c>
      <c r="F14">
        <v>7</v>
      </c>
      <c r="G14">
        <f t="shared" si="0"/>
        <v>1286727272.7272727</v>
      </c>
      <c r="H14">
        <v>4</v>
      </c>
      <c r="I14">
        <v>9</v>
      </c>
      <c r="J14">
        <f t="shared" si="1"/>
        <v>1654363636.3636363</v>
      </c>
      <c r="K14">
        <v>4</v>
      </c>
      <c r="L14">
        <v>5</v>
      </c>
      <c r="M14">
        <f t="shared" si="2"/>
        <v>919090909.09090912</v>
      </c>
      <c r="N14" s="5">
        <f t="shared" si="3"/>
        <v>1286727272.7272727</v>
      </c>
      <c r="O14" s="45">
        <v>11</v>
      </c>
      <c r="P14">
        <v>1000</v>
      </c>
      <c r="Q14">
        <f t="shared" si="4"/>
        <v>91.909090909090907</v>
      </c>
      <c r="R14">
        <f t="shared" si="5"/>
        <v>5.0000000000000001E-3</v>
      </c>
    </row>
    <row r="15" spans="2:27" x14ac:dyDescent="0.2">
      <c r="B15">
        <f t="shared" si="6"/>
        <v>3</v>
      </c>
      <c r="C15">
        <v>3</v>
      </c>
      <c r="D15">
        <f>D14+1</f>
        <v>3</v>
      </c>
      <c r="E15">
        <v>4</v>
      </c>
      <c r="F15">
        <v>20</v>
      </c>
      <c r="G15">
        <f t="shared" si="0"/>
        <v>2540000000</v>
      </c>
      <c r="H15">
        <v>4</v>
      </c>
      <c r="I15">
        <v>10</v>
      </c>
      <c r="J15">
        <f t="shared" si="1"/>
        <v>1270000000</v>
      </c>
      <c r="K15">
        <v>4</v>
      </c>
      <c r="L15">
        <v>14</v>
      </c>
      <c r="M15">
        <f t="shared" si="2"/>
        <v>1778000000</v>
      </c>
      <c r="N15" s="5">
        <f t="shared" si="3"/>
        <v>1862666666.6666667</v>
      </c>
      <c r="O15" s="45">
        <v>16</v>
      </c>
      <c r="P15">
        <v>1000</v>
      </c>
      <c r="Q15">
        <f t="shared" si="4"/>
        <v>63.5</v>
      </c>
      <c r="R15">
        <f t="shared" si="5"/>
        <v>5.0000000000000001E-3</v>
      </c>
    </row>
    <row r="16" spans="2:27" x14ac:dyDescent="0.2">
      <c r="B16">
        <f t="shared" si="6"/>
        <v>3</v>
      </c>
      <c r="C16">
        <v>3</v>
      </c>
      <c r="D16">
        <f>D15+1</f>
        <v>4</v>
      </c>
      <c r="E16">
        <v>4</v>
      </c>
      <c r="F16">
        <v>5</v>
      </c>
      <c r="G16">
        <f t="shared" si="0"/>
        <v>676666666.66666675</v>
      </c>
      <c r="H16">
        <v>3</v>
      </c>
      <c r="I16">
        <v>17</v>
      </c>
      <c r="J16">
        <f t="shared" si="1"/>
        <v>230066666.66666669</v>
      </c>
      <c r="K16">
        <v>3</v>
      </c>
      <c r="L16">
        <v>9</v>
      </c>
      <c r="M16">
        <f t="shared" si="2"/>
        <v>121800000.00000001</v>
      </c>
      <c r="N16" s="5">
        <f t="shared" si="3"/>
        <v>342844444.44444448</v>
      </c>
      <c r="O16" s="10">
        <v>15</v>
      </c>
      <c r="P16">
        <v>1000</v>
      </c>
      <c r="Q16">
        <f t="shared" si="4"/>
        <v>67.666666666666671</v>
      </c>
      <c r="R16">
        <f t="shared" si="5"/>
        <v>5.0000000000000001E-3</v>
      </c>
      <c r="U16" s="2"/>
    </row>
    <row r="17" spans="2:21" x14ac:dyDescent="0.2">
      <c r="B17">
        <f t="shared" si="6"/>
        <v>3</v>
      </c>
      <c r="C17">
        <v>3</v>
      </c>
      <c r="D17" s="4">
        <f>D16+1</f>
        <v>5</v>
      </c>
      <c r="E17" s="4">
        <v>4</v>
      </c>
      <c r="F17" s="4">
        <v>3</v>
      </c>
      <c r="G17" s="4">
        <f t="shared" si="0"/>
        <v>381000000</v>
      </c>
      <c r="H17" s="4">
        <v>4</v>
      </c>
      <c r="I17" s="4">
        <v>4</v>
      </c>
      <c r="J17" s="4">
        <f t="shared" si="1"/>
        <v>508000000</v>
      </c>
      <c r="K17" s="4">
        <v>4</v>
      </c>
      <c r="L17" s="4">
        <v>9</v>
      </c>
      <c r="M17" s="4">
        <f t="shared" si="2"/>
        <v>1143000000</v>
      </c>
      <c r="N17" s="35">
        <f t="shared" si="3"/>
        <v>677333333.33333337</v>
      </c>
      <c r="O17" s="46">
        <v>16</v>
      </c>
      <c r="P17" s="4">
        <v>1000</v>
      </c>
      <c r="Q17" s="4">
        <f t="shared" si="4"/>
        <v>63.5</v>
      </c>
      <c r="R17" s="4">
        <f t="shared" si="5"/>
        <v>5.0000000000000001E-3</v>
      </c>
      <c r="U17" s="2"/>
    </row>
    <row r="18" spans="2:21" x14ac:dyDescent="0.2">
      <c r="B18">
        <f>B13+1</f>
        <v>4</v>
      </c>
      <c r="C18">
        <v>3</v>
      </c>
      <c r="D18">
        <v>1</v>
      </c>
      <c r="E18" s="1">
        <v>4</v>
      </c>
      <c r="F18">
        <v>19</v>
      </c>
      <c r="G18">
        <f t="shared" si="0"/>
        <v>2273294117.6470585</v>
      </c>
      <c r="H18" s="1">
        <v>4</v>
      </c>
      <c r="I18">
        <v>27</v>
      </c>
      <c r="J18">
        <f t="shared" si="1"/>
        <v>3230470588.2352939</v>
      </c>
      <c r="K18" s="1">
        <v>4</v>
      </c>
      <c r="L18">
        <v>17</v>
      </c>
      <c r="M18">
        <f t="shared" si="2"/>
        <v>2034000000</v>
      </c>
      <c r="N18" s="5">
        <f t="shared" si="3"/>
        <v>2512588235.2941175</v>
      </c>
      <c r="O18" s="34">
        <v>17</v>
      </c>
      <c r="P18">
        <v>1000</v>
      </c>
      <c r="Q18">
        <f t="shared" si="4"/>
        <v>59.823529411764703</v>
      </c>
      <c r="R18">
        <f t="shared" si="5"/>
        <v>5.0000000000000001E-3</v>
      </c>
      <c r="U18" s="3"/>
    </row>
    <row r="19" spans="2:21" x14ac:dyDescent="0.2">
      <c r="B19">
        <f t="shared" si="6"/>
        <v>4</v>
      </c>
      <c r="C19">
        <v>3</v>
      </c>
      <c r="D19">
        <f>D18+1</f>
        <v>2</v>
      </c>
      <c r="G19" t="e">
        <f t="shared" si="0"/>
        <v>#DIV/0!</v>
      </c>
      <c r="H19">
        <v>4</v>
      </c>
      <c r="J19" t="e">
        <f t="shared" si="1"/>
        <v>#DIV/0!</v>
      </c>
      <c r="M19" t="e">
        <f t="shared" si="2"/>
        <v>#DIV/0!</v>
      </c>
      <c r="N19" s="5" t="e">
        <f t="shared" si="3"/>
        <v>#DIV/0!</v>
      </c>
      <c r="O19" s="15">
        <v>0</v>
      </c>
      <c r="P19">
        <v>1000</v>
      </c>
      <c r="Q19" t="e">
        <f t="shared" si="4"/>
        <v>#DIV/0!</v>
      </c>
      <c r="R19">
        <f t="shared" si="5"/>
        <v>5.0000000000000001E-3</v>
      </c>
    </row>
    <row r="20" spans="2:21" x14ac:dyDescent="0.2">
      <c r="B20">
        <f t="shared" si="6"/>
        <v>4</v>
      </c>
      <c r="C20">
        <v>3</v>
      </c>
      <c r="D20">
        <f>D19+1</f>
        <v>3</v>
      </c>
      <c r="E20">
        <v>4</v>
      </c>
      <c r="F20">
        <v>18</v>
      </c>
      <c r="G20">
        <f t="shared" si="0"/>
        <v>3308727272.7272725</v>
      </c>
      <c r="H20">
        <v>4</v>
      </c>
      <c r="I20">
        <v>13</v>
      </c>
      <c r="J20">
        <f t="shared" si="1"/>
        <v>2389636363.6363635</v>
      </c>
      <c r="K20">
        <v>4</v>
      </c>
      <c r="L20">
        <v>19</v>
      </c>
      <c r="M20">
        <f t="shared" si="2"/>
        <v>3492545454.5454545</v>
      </c>
      <c r="N20" s="5">
        <f t="shared" si="3"/>
        <v>3063636363.6363635</v>
      </c>
      <c r="O20" s="15">
        <v>11</v>
      </c>
      <c r="P20">
        <v>1000</v>
      </c>
      <c r="Q20">
        <f t="shared" si="4"/>
        <v>91.909090909090907</v>
      </c>
      <c r="R20">
        <f t="shared" si="5"/>
        <v>5.0000000000000001E-3</v>
      </c>
    </row>
    <row r="21" spans="2:21" x14ac:dyDescent="0.2">
      <c r="B21">
        <f t="shared" si="6"/>
        <v>4</v>
      </c>
      <c r="C21">
        <v>3</v>
      </c>
      <c r="D21">
        <f>D20+1</f>
        <v>4</v>
      </c>
      <c r="E21">
        <v>4</v>
      </c>
      <c r="F21">
        <v>17</v>
      </c>
      <c r="G21">
        <f t="shared" si="0"/>
        <v>3124909090.909091</v>
      </c>
      <c r="H21">
        <v>4</v>
      </c>
      <c r="I21">
        <v>9</v>
      </c>
      <c r="J21">
        <f t="shared" si="1"/>
        <v>1654363636.3636363</v>
      </c>
      <c r="K21">
        <v>4</v>
      </c>
      <c r="L21">
        <v>8</v>
      </c>
      <c r="M21">
        <f t="shared" si="2"/>
        <v>1470545454.5454545</v>
      </c>
      <c r="N21" s="5">
        <f t="shared" si="3"/>
        <v>2083272727.2727273</v>
      </c>
      <c r="O21" s="15">
        <v>11</v>
      </c>
      <c r="P21">
        <v>1000</v>
      </c>
      <c r="Q21">
        <f t="shared" si="4"/>
        <v>91.909090909090907</v>
      </c>
      <c r="R21">
        <f t="shared" si="5"/>
        <v>5.0000000000000001E-3</v>
      </c>
    </row>
    <row r="22" spans="2:21" x14ac:dyDescent="0.2">
      <c r="B22">
        <f t="shared" si="6"/>
        <v>4</v>
      </c>
      <c r="C22">
        <v>3</v>
      </c>
      <c r="D22" s="4">
        <f>D21+1</f>
        <v>5</v>
      </c>
      <c r="E22" s="4">
        <v>4</v>
      </c>
      <c r="F22" s="4">
        <v>11</v>
      </c>
      <c r="G22" s="4">
        <f t="shared" si="0"/>
        <v>4422000000</v>
      </c>
      <c r="H22" s="4">
        <v>4</v>
      </c>
      <c r="I22" s="4">
        <v>6</v>
      </c>
      <c r="J22" s="4">
        <f t="shared" si="1"/>
        <v>2412000000</v>
      </c>
      <c r="K22" s="4">
        <v>4</v>
      </c>
      <c r="L22" s="4">
        <v>5</v>
      </c>
      <c r="M22" s="4">
        <f t="shared" si="2"/>
        <v>2010000000</v>
      </c>
      <c r="N22" s="35">
        <f t="shared" si="3"/>
        <v>2948000000</v>
      </c>
      <c r="O22" s="16">
        <v>5</v>
      </c>
      <c r="P22" s="4">
        <v>1000</v>
      </c>
      <c r="Q22" s="4">
        <f t="shared" si="4"/>
        <v>201</v>
      </c>
      <c r="R22" s="4">
        <f t="shared" si="5"/>
        <v>5.0000000000000001E-3</v>
      </c>
    </row>
    <row r="23" spans="2:21" x14ac:dyDescent="0.2">
      <c r="B23">
        <f>B18+1</f>
        <v>5</v>
      </c>
      <c r="C23">
        <v>3</v>
      </c>
      <c r="D23">
        <v>1</v>
      </c>
      <c r="E23">
        <v>4</v>
      </c>
      <c r="F23">
        <v>13</v>
      </c>
      <c r="G23">
        <f t="shared" si="0"/>
        <v>1651000000</v>
      </c>
      <c r="H23">
        <v>4</v>
      </c>
      <c r="I23">
        <v>10</v>
      </c>
      <c r="J23">
        <f t="shared" si="1"/>
        <v>1270000000</v>
      </c>
      <c r="K23">
        <v>4</v>
      </c>
      <c r="L23">
        <v>9</v>
      </c>
      <c r="M23">
        <f t="shared" si="2"/>
        <v>1143000000</v>
      </c>
      <c r="N23" s="5">
        <f t="shared" si="3"/>
        <v>1354666666.6666667</v>
      </c>
      <c r="O23" s="34">
        <v>16</v>
      </c>
      <c r="P23">
        <v>1000</v>
      </c>
      <c r="Q23">
        <f t="shared" si="4"/>
        <v>63.5</v>
      </c>
      <c r="R23">
        <f t="shared" si="5"/>
        <v>5.0000000000000001E-3</v>
      </c>
    </row>
    <row r="24" spans="2:21" x14ac:dyDescent="0.2">
      <c r="B24">
        <f t="shared" si="6"/>
        <v>5</v>
      </c>
      <c r="C24">
        <v>3</v>
      </c>
      <c r="D24">
        <f>D23+1</f>
        <v>2</v>
      </c>
      <c r="E24">
        <v>4</v>
      </c>
      <c r="F24">
        <v>25</v>
      </c>
      <c r="G24">
        <f t="shared" si="0"/>
        <v>5605555555.5555553</v>
      </c>
      <c r="H24">
        <v>4</v>
      </c>
      <c r="I24">
        <v>9</v>
      </c>
      <c r="J24">
        <f t="shared" si="1"/>
        <v>2018000000</v>
      </c>
      <c r="K24">
        <v>4</v>
      </c>
      <c r="L24">
        <v>10</v>
      </c>
      <c r="M24">
        <f t="shared" si="2"/>
        <v>2242222222.2222223</v>
      </c>
      <c r="N24" s="5">
        <f t="shared" si="3"/>
        <v>3288592592.5925927</v>
      </c>
      <c r="O24" s="17">
        <v>9</v>
      </c>
      <c r="P24">
        <v>1000</v>
      </c>
      <c r="Q24">
        <f t="shared" si="4"/>
        <v>112.11111111111111</v>
      </c>
      <c r="R24">
        <f t="shared" si="5"/>
        <v>5.0000000000000001E-3</v>
      </c>
    </row>
    <row r="25" spans="2:21" x14ac:dyDescent="0.2">
      <c r="B25">
        <f t="shared" si="6"/>
        <v>5</v>
      </c>
      <c r="C25">
        <v>3</v>
      </c>
      <c r="D25">
        <f>D24+1</f>
        <v>3</v>
      </c>
      <c r="G25" t="e">
        <f t="shared" si="0"/>
        <v>#DIV/0!</v>
      </c>
      <c r="J25" t="e">
        <f t="shared" si="1"/>
        <v>#DIV/0!</v>
      </c>
      <c r="M25" t="e">
        <f t="shared" si="2"/>
        <v>#DIV/0!</v>
      </c>
      <c r="N25" s="5" t="e">
        <f t="shared" si="3"/>
        <v>#DIV/0!</v>
      </c>
      <c r="O25" s="15">
        <v>0</v>
      </c>
      <c r="P25">
        <v>1000</v>
      </c>
      <c r="Q25" t="e">
        <f t="shared" si="4"/>
        <v>#DIV/0!</v>
      </c>
      <c r="R25">
        <f t="shared" si="5"/>
        <v>5.0000000000000001E-3</v>
      </c>
    </row>
    <row r="26" spans="2:21" x14ac:dyDescent="0.2">
      <c r="B26">
        <f t="shared" si="6"/>
        <v>5</v>
      </c>
      <c r="C26">
        <v>3</v>
      </c>
      <c r="D26">
        <f>D25+1</f>
        <v>4</v>
      </c>
      <c r="E26">
        <v>4</v>
      </c>
      <c r="F26">
        <v>3</v>
      </c>
      <c r="G26">
        <f t="shared" si="0"/>
        <v>1506000000</v>
      </c>
      <c r="H26">
        <v>4</v>
      </c>
      <c r="I26">
        <v>3</v>
      </c>
      <c r="J26">
        <v>13</v>
      </c>
      <c r="K26">
        <v>4</v>
      </c>
      <c r="L26">
        <v>5</v>
      </c>
      <c r="M26">
        <v>19</v>
      </c>
      <c r="N26" s="5">
        <f t="shared" si="3"/>
        <v>502000010.66666669</v>
      </c>
      <c r="O26" s="15">
        <v>4</v>
      </c>
      <c r="P26">
        <v>1000</v>
      </c>
      <c r="Q26">
        <f t="shared" si="4"/>
        <v>251</v>
      </c>
      <c r="R26">
        <f t="shared" si="5"/>
        <v>5.0000000000000001E-3</v>
      </c>
    </row>
    <row r="27" spans="2:21" x14ac:dyDescent="0.2">
      <c r="B27">
        <f t="shared" si="6"/>
        <v>5</v>
      </c>
      <c r="C27">
        <v>3</v>
      </c>
      <c r="D27" s="4">
        <f>D26+1</f>
        <v>5</v>
      </c>
      <c r="E27" s="4">
        <v>4</v>
      </c>
      <c r="F27" s="4">
        <v>10</v>
      </c>
      <c r="G27" s="4">
        <f t="shared" si="0"/>
        <v>2242222222.2222223</v>
      </c>
      <c r="H27" s="4">
        <v>4</v>
      </c>
      <c r="I27" s="4">
        <v>12</v>
      </c>
      <c r="J27" s="4">
        <f t="shared" si="1"/>
        <v>2690666666.6666665</v>
      </c>
      <c r="K27" s="4">
        <v>4</v>
      </c>
      <c r="L27" s="4">
        <v>16</v>
      </c>
      <c r="M27" s="4">
        <f t="shared" si="2"/>
        <v>3587555555.5555558</v>
      </c>
      <c r="N27" s="35">
        <f t="shared" si="3"/>
        <v>2840148148.1481481</v>
      </c>
      <c r="O27" s="16">
        <v>9</v>
      </c>
      <c r="P27" s="4">
        <v>1000</v>
      </c>
      <c r="Q27" s="4">
        <f t="shared" si="4"/>
        <v>112.11111111111111</v>
      </c>
      <c r="R27" s="4">
        <f t="shared" si="5"/>
        <v>5.0000000000000001E-3</v>
      </c>
    </row>
    <row r="28" spans="2:21" x14ac:dyDescent="0.2">
      <c r="B28">
        <f>B23+1</f>
        <v>6</v>
      </c>
      <c r="C28">
        <v>3</v>
      </c>
      <c r="D28">
        <v>1</v>
      </c>
      <c r="E28" s="47">
        <v>2</v>
      </c>
      <c r="F28" s="47">
        <v>3</v>
      </c>
      <c r="G28">
        <f t="shared" si="0"/>
        <v>5514545.4545454541</v>
      </c>
      <c r="H28" s="47">
        <v>2</v>
      </c>
      <c r="I28" s="47">
        <v>10</v>
      </c>
      <c r="J28">
        <f t="shared" si="1"/>
        <v>18381818.18181818</v>
      </c>
      <c r="K28" s="47">
        <v>2</v>
      </c>
      <c r="L28" s="47">
        <v>5</v>
      </c>
      <c r="M28">
        <f t="shared" si="2"/>
        <v>9190909.0909090899</v>
      </c>
      <c r="N28" s="5">
        <f t="shared" si="3"/>
        <v>11029090.909090908</v>
      </c>
      <c r="O28" s="34">
        <v>11</v>
      </c>
      <c r="P28">
        <v>1000</v>
      </c>
      <c r="Q28">
        <f t="shared" si="4"/>
        <v>91.909090909090907</v>
      </c>
      <c r="R28">
        <f t="shared" si="5"/>
        <v>5.0000000000000001E-3</v>
      </c>
    </row>
    <row r="29" spans="2:21" x14ac:dyDescent="0.2">
      <c r="B29">
        <f t="shared" si="6"/>
        <v>6</v>
      </c>
      <c r="C29">
        <v>3</v>
      </c>
      <c r="D29">
        <f>D28+1</f>
        <v>2</v>
      </c>
      <c r="E29" s="47">
        <v>3</v>
      </c>
      <c r="F29" s="47">
        <v>5</v>
      </c>
      <c r="G29">
        <f t="shared" si="0"/>
        <v>84333333.333333328</v>
      </c>
      <c r="H29" s="47">
        <v>2</v>
      </c>
      <c r="I29" s="47">
        <v>7</v>
      </c>
      <c r="J29">
        <f t="shared" si="1"/>
        <v>11806666.666666666</v>
      </c>
      <c r="K29" s="47">
        <v>2</v>
      </c>
      <c r="L29" s="47">
        <v>24</v>
      </c>
      <c r="M29">
        <f t="shared" si="2"/>
        <v>40480000</v>
      </c>
      <c r="N29" s="5">
        <f t="shared" si="3"/>
        <v>45540000</v>
      </c>
      <c r="O29" s="15">
        <v>12</v>
      </c>
      <c r="P29">
        <v>1000</v>
      </c>
      <c r="Q29">
        <f t="shared" si="4"/>
        <v>84.333333333333329</v>
      </c>
      <c r="R29">
        <f t="shared" si="5"/>
        <v>5.0000000000000001E-3</v>
      </c>
    </row>
    <row r="30" spans="2:21" ht="17" x14ac:dyDescent="0.2">
      <c r="B30">
        <f t="shared" si="6"/>
        <v>6</v>
      </c>
      <c r="C30">
        <v>3</v>
      </c>
      <c r="D30">
        <f>D29+1</f>
        <v>3</v>
      </c>
      <c r="E30" s="47">
        <v>1</v>
      </c>
      <c r="F30" s="47">
        <v>13</v>
      </c>
      <c r="G30" t="e">
        <f t="shared" si="0"/>
        <v>#VALUE!</v>
      </c>
      <c r="H30" s="47">
        <v>1</v>
      </c>
      <c r="I30" s="47">
        <v>7</v>
      </c>
      <c r="J30" t="e">
        <f t="shared" si="1"/>
        <v>#VALUE!</v>
      </c>
      <c r="K30" s="47">
        <v>1</v>
      </c>
      <c r="L30" s="47">
        <v>5</v>
      </c>
      <c r="M30" t="e">
        <f t="shared" si="2"/>
        <v>#VALUE!</v>
      </c>
      <c r="N30" s="5" t="e">
        <f t="shared" si="3"/>
        <v>#VALUE!</v>
      </c>
      <c r="O30" s="15" t="s">
        <v>33</v>
      </c>
      <c r="P30">
        <v>1000</v>
      </c>
      <c r="Q30" t="e">
        <f t="shared" si="4"/>
        <v>#VALUE!</v>
      </c>
      <c r="R30">
        <f t="shared" si="5"/>
        <v>5.0000000000000001E-3</v>
      </c>
    </row>
    <row r="31" spans="2:21" x14ac:dyDescent="0.2">
      <c r="B31">
        <f t="shared" si="6"/>
        <v>6</v>
      </c>
      <c r="C31">
        <v>3</v>
      </c>
      <c r="D31">
        <f>D30+1</f>
        <v>4</v>
      </c>
      <c r="E31" s="47">
        <v>3</v>
      </c>
      <c r="F31" s="47">
        <v>33</v>
      </c>
      <c r="G31">
        <f t="shared" si="0"/>
        <v>2206600000</v>
      </c>
      <c r="H31" s="47">
        <v>4</v>
      </c>
      <c r="I31" s="47">
        <v>4</v>
      </c>
      <c r="J31">
        <f t="shared" si="1"/>
        <v>2674666666.6666665</v>
      </c>
      <c r="K31" s="47">
        <v>3</v>
      </c>
      <c r="L31" s="47">
        <v>23</v>
      </c>
      <c r="M31">
        <f t="shared" si="2"/>
        <v>1537933333.3333333</v>
      </c>
      <c r="N31" s="5">
        <f t="shared" si="3"/>
        <v>2139733333.333333</v>
      </c>
      <c r="O31" s="15">
        <v>3</v>
      </c>
      <c r="P31">
        <v>1000</v>
      </c>
      <c r="Q31">
        <f t="shared" si="4"/>
        <v>334.33333333333331</v>
      </c>
      <c r="R31">
        <f t="shared" si="5"/>
        <v>5.0000000000000001E-3</v>
      </c>
    </row>
    <row r="32" spans="2:21" x14ac:dyDescent="0.2">
      <c r="B32">
        <f t="shared" si="6"/>
        <v>6</v>
      </c>
      <c r="C32">
        <v>3</v>
      </c>
      <c r="D32" s="4">
        <f>D31+1</f>
        <v>5</v>
      </c>
      <c r="E32" s="4">
        <v>4</v>
      </c>
      <c r="F32" s="4">
        <v>6</v>
      </c>
      <c r="G32" s="4">
        <f t="shared" si="0"/>
        <v>1512000000</v>
      </c>
      <c r="H32" s="4">
        <v>4</v>
      </c>
      <c r="I32" s="4">
        <v>3</v>
      </c>
      <c r="J32" s="4">
        <f t="shared" si="1"/>
        <v>756000000</v>
      </c>
      <c r="K32" s="4">
        <v>4</v>
      </c>
      <c r="L32" s="4">
        <v>8</v>
      </c>
      <c r="M32" s="4">
        <f t="shared" si="2"/>
        <v>2016000000</v>
      </c>
      <c r="N32" s="35">
        <f t="shared" si="3"/>
        <v>1428000000</v>
      </c>
      <c r="O32" s="16">
        <v>8</v>
      </c>
      <c r="P32" s="4">
        <v>1000</v>
      </c>
      <c r="Q32" s="4">
        <f t="shared" si="4"/>
        <v>126</v>
      </c>
      <c r="R32" s="4">
        <f t="shared" si="5"/>
        <v>5.0000000000000001E-3</v>
      </c>
    </row>
    <row r="33" spans="1:18" x14ac:dyDescent="0.2">
      <c r="B33" s="1"/>
      <c r="C33" s="1"/>
      <c r="D33" s="1"/>
      <c r="G33" s="2"/>
      <c r="J33" s="2"/>
      <c r="M33" s="2"/>
      <c r="N33" s="5"/>
      <c r="O33" s="15"/>
      <c r="P33" s="1"/>
      <c r="R33" s="1"/>
    </row>
    <row r="34" spans="1:18" x14ac:dyDescent="0.2">
      <c r="G34" s="2"/>
      <c r="J34" s="2"/>
      <c r="M34" s="2"/>
      <c r="N34" s="5"/>
      <c r="O34" s="15"/>
    </row>
    <row r="35" spans="1:18" x14ac:dyDescent="0.2">
      <c r="G35" s="2"/>
      <c r="J35" s="2"/>
      <c r="M35" s="2"/>
      <c r="N35" s="5"/>
      <c r="O35" s="15"/>
    </row>
    <row r="36" spans="1:18" x14ac:dyDescent="0.2">
      <c r="G36" s="2"/>
      <c r="J36" s="2"/>
      <c r="M36" s="2"/>
      <c r="N36" s="5"/>
      <c r="O36" s="15"/>
    </row>
    <row r="37" spans="1:18" x14ac:dyDescent="0.2">
      <c r="G37" s="2"/>
      <c r="J37" s="2"/>
      <c r="M37" s="2"/>
      <c r="N37" s="5"/>
      <c r="O37" s="15"/>
    </row>
    <row r="38" spans="1:18" x14ac:dyDescent="0.2">
      <c r="G38" s="2"/>
      <c r="J38" s="2"/>
      <c r="M38" s="2"/>
      <c r="N38" s="5"/>
      <c r="O38" s="15"/>
    </row>
    <row r="39" spans="1:18" x14ac:dyDescent="0.2">
      <c r="G39" s="2"/>
      <c r="J39" s="2"/>
      <c r="M39" s="2"/>
      <c r="N39" s="5"/>
      <c r="O39" s="15"/>
    </row>
    <row r="40" spans="1:18" x14ac:dyDescent="0.2">
      <c r="G40" s="2"/>
      <c r="J40" s="2"/>
      <c r="M40" s="2"/>
      <c r="N40" s="5"/>
      <c r="O40" s="15"/>
    </row>
    <row r="41" spans="1:18" x14ac:dyDescent="0.2">
      <c r="G41" s="2"/>
      <c r="J41" s="2"/>
      <c r="M41" s="2"/>
      <c r="N41" s="5"/>
      <c r="O41" s="15"/>
    </row>
    <row r="42" spans="1:18" x14ac:dyDescent="0.2">
      <c r="G42" s="2"/>
      <c r="J42" s="2"/>
      <c r="M42" s="2"/>
      <c r="N42" s="5"/>
      <c r="O42" s="15"/>
    </row>
    <row r="43" spans="1:18" x14ac:dyDescent="0.2">
      <c r="A43" t="s">
        <v>37</v>
      </c>
      <c r="G43" s="2"/>
      <c r="J43" s="2"/>
      <c r="M43" s="2"/>
      <c r="N43" s="5"/>
    </row>
    <row r="44" spans="1:18" x14ac:dyDescent="0.2">
      <c r="A44" t="s">
        <v>37</v>
      </c>
      <c r="G44" s="2"/>
      <c r="J44" s="2"/>
      <c r="M44" s="2"/>
      <c r="N44" s="5"/>
    </row>
    <row r="45" spans="1:18" x14ac:dyDescent="0.2">
      <c r="A45" t="s">
        <v>38</v>
      </c>
      <c r="G45" s="2"/>
      <c r="J45" s="2"/>
      <c r="M45" s="2"/>
      <c r="N45" s="5"/>
    </row>
    <row r="46" spans="1:18" x14ac:dyDescent="0.2">
      <c r="A46" t="s">
        <v>38</v>
      </c>
      <c r="G46" s="2"/>
      <c r="J46" s="2"/>
      <c r="M46" s="2"/>
      <c r="N46" s="5"/>
    </row>
    <row r="47" spans="1:18" x14ac:dyDescent="0.2">
      <c r="A47" t="s">
        <v>39</v>
      </c>
      <c r="G47" s="2"/>
      <c r="J47" s="2"/>
      <c r="M47" s="2"/>
      <c r="N47" s="5"/>
    </row>
    <row r="48" spans="1:18" x14ac:dyDescent="0.2">
      <c r="A48" t="s">
        <v>39</v>
      </c>
      <c r="G48" s="2"/>
      <c r="J48" s="2"/>
      <c r="M48" s="2"/>
      <c r="N48" s="5"/>
    </row>
    <row r="49" spans="1:15" x14ac:dyDescent="0.2">
      <c r="A49" t="s">
        <v>40</v>
      </c>
      <c r="G49" s="2"/>
      <c r="J49" s="2"/>
      <c r="M49" s="2"/>
      <c r="N49" s="5"/>
    </row>
    <row r="50" spans="1:15" x14ac:dyDescent="0.2">
      <c r="A50" t="s">
        <v>40</v>
      </c>
      <c r="G50" s="2"/>
      <c r="J50" s="2"/>
      <c r="M50" s="2"/>
      <c r="N50" s="5"/>
    </row>
    <row r="51" spans="1:15" x14ac:dyDescent="0.2">
      <c r="A51" t="s">
        <v>41</v>
      </c>
      <c r="G51" s="2"/>
      <c r="J51" s="2"/>
      <c r="M51" s="2"/>
      <c r="N51" s="5"/>
    </row>
    <row r="52" spans="1:15" x14ac:dyDescent="0.2">
      <c r="A52" t="s">
        <v>41</v>
      </c>
      <c r="G52" s="2"/>
      <c r="J52" s="2"/>
      <c r="M52" s="2"/>
      <c r="N52" s="5"/>
    </row>
    <row r="53" spans="1:15" x14ac:dyDescent="0.2">
      <c r="A53" t="s">
        <v>37</v>
      </c>
      <c r="G53" s="2"/>
      <c r="J53" s="2"/>
      <c r="M53" s="2"/>
      <c r="N53" s="5"/>
      <c r="O53" s="17"/>
    </row>
    <row r="54" spans="1:15" x14ac:dyDescent="0.2">
      <c r="A54" t="s">
        <v>37</v>
      </c>
      <c r="G54" s="2"/>
      <c r="J54" s="2"/>
      <c r="M54" s="2"/>
      <c r="N54" s="5"/>
      <c r="O54" s="17"/>
    </row>
    <row r="55" spans="1:15" x14ac:dyDescent="0.2">
      <c r="A55" t="s">
        <v>38</v>
      </c>
      <c r="G55" s="2"/>
      <c r="J55" s="2"/>
      <c r="M55" s="2"/>
      <c r="N55" s="5"/>
      <c r="O55" s="17"/>
    </row>
    <row r="56" spans="1:15" x14ac:dyDescent="0.2">
      <c r="A56" t="s">
        <v>38</v>
      </c>
      <c r="G56" s="2"/>
      <c r="J56" s="2"/>
      <c r="M56" s="2"/>
      <c r="N56" s="5"/>
      <c r="O56" s="17"/>
    </row>
    <row r="57" spans="1:15" x14ac:dyDescent="0.2">
      <c r="A57" t="s">
        <v>39</v>
      </c>
      <c r="G57" s="2"/>
      <c r="J57" s="2"/>
      <c r="M57" s="2"/>
      <c r="N57" s="5"/>
      <c r="O57" s="17"/>
    </row>
    <row r="58" spans="1:15" x14ac:dyDescent="0.2">
      <c r="A58" t="s">
        <v>39</v>
      </c>
      <c r="G58" s="2"/>
      <c r="J58" s="2"/>
      <c r="M58" s="2"/>
      <c r="N58" s="5"/>
      <c r="O58" s="17"/>
    </row>
    <row r="59" spans="1:15" x14ac:dyDescent="0.2">
      <c r="A59" t="s">
        <v>40</v>
      </c>
      <c r="G59" s="2"/>
      <c r="J59" s="2"/>
      <c r="M59" s="2"/>
      <c r="N59" s="5"/>
      <c r="O59" s="17"/>
    </row>
    <row r="60" spans="1:15" x14ac:dyDescent="0.2">
      <c r="A60" t="s">
        <v>40</v>
      </c>
      <c r="G60" s="2"/>
      <c r="J60" s="2"/>
      <c r="M60" s="2"/>
      <c r="N60" s="5"/>
      <c r="O60" s="17"/>
    </row>
    <row r="61" spans="1:15" x14ac:dyDescent="0.2">
      <c r="A61" t="s">
        <v>41</v>
      </c>
      <c r="G61" s="2"/>
      <c r="J61" s="2"/>
      <c r="M61" s="2"/>
      <c r="N61" s="5"/>
      <c r="O61" s="17"/>
    </row>
    <row r="62" spans="1:15" x14ac:dyDescent="0.2">
      <c r="A62" t="s">
        <v>41</v>
      </c>
      <c r="G62" s="2"/>
      <c r="J62" s="2"/>
      <c r="M62" s="2"/>
      <c r="N62" s="5"/>
      <c r="O62" s="17"/>
    </row>
    <row r="63" spans="1:15" x14ac:dyDescent="0.2">
      <c r="A63" t="s">
        <v>37</v>
      </c>
      <c r="G63" s="2"/>
      <c r="J63" s="2"/>
      <c r="M63" s="2"/>
      <c r="N63" s="5"/>
      <c r="O63" s="17"/>
    </row>
    <row r="64" spans="1:15" x14ac:dyDescent="0.2">
      <c r="A64" t="s">
        <v>37</v>
      </c>
      <c r="G64" s="2"/>
      <c r="J64" s="2"/>
      <c r="M64" s="2"/>
      <c r="N64" s="5"/>
      <c r="O64" s="17"/>
    </row>
    <row r="65" spans="1:15" x14ac:dyDescent="0.2">
      <c r="A65" t="s">
        <v>38</v>
      </c>
      <c r="G65" s="2"/>
      <c r="J65" s="2"/>
      <c r="M65" s="2"/>
      <c r="N65" s="5"/>
      <c r="O65" s="17"/>
    </row>
    <row r="66" spans="1:15" x14ac:dyDescent="0.2">
      <c r="A66" t="s">
        <v>38</v>
      </c>
      <c r="G66" s="2"/>
      <c r="J66" s="2"/>
      <c r="M66" s="2"/>
      <c r="N66" s="5"/>
      <c r="O66" s="17"/>
    </row>
    <row r="67" spans="1:15" x14ac:dyDescent="0.2">
      <c r="A67" t="s">
        <v>39</v>
      </c>
      <c r="G67" s="2"/>
      <c r="J67" s="2"/>
      <c r="M67" s="2"/>
      <c r="N67" s="5"/>
      <c r="O67" s="19"/>
    </row>
    <row r="68" spans="1:15" x14ac:dyDescent="0.2">
      <c r="A68" t="s">
        <v>39</v>
      </c>
      <c r="G68" s="2"/>
      <c r="J68" s="2"/>
      <c r="M68" s="2"/>
      <c r="N68" s="5"/>
      <c r="O68" s="17"/>
    </row>
    <row r="69" spans="1:15" x14ac:dyDescent="0.2">
      <c r="A69" t="s">
        <v>40</v>
      </c>
      <c r="G69" s="2"/>
      <c r="J69" s="2"/>
      <c r="M69" s="2"/>
      <c r="N69" s="5"/>
      <c r="O69" s="17"/>
    </row>
    <row r="70" spans="1:15" x14ac:dyDescent="0.2">
      <c r="A70" t="s">
        <v>40</v>
      </c>
      <c r="G70" s="2"/>
      <c r="J70" s="2"/>
      <c r="M70" s="2"/>
      <c r="N70" s="5"/>
      <c r="O70" s="19"/>
    </row>
    <row r="71" spans="1:15" x14ac:dyDescent="0.2">
      <c r="A71" t="s">
        <v>41</v>
      </c>
      <c r="G71" s="2"/>
      <c r="J71" s="2"/>
      <c r="M71" s="2"/>
      <c r="N71" s="5"/>
      <c r="O71" s="17"/>
    </row>
    <row r="72" spans="1:15" x14ac:dyDescent="0.2">
      <c r="A72" t="s">
        <v>41</v>
      </c>
      <c r="G72" s="2"/>
      <c r="J72" s="2"/>
      <c r="M72" s="2"/>
      <c r="N72" s="5"/>
      <c r="O72" s="17"/>
    </row>
    <row r="73" spans="1:15" x14ac:dyDescent="0.2">
      <c r="A73" t="s">
        <v>37</v>
      </c>
      <c r="G73" s="2"/>
      <c r="J73" s="2"/>
      <c r="M73" s="2"/>
      <c r="N73" s="5"/>
      <c r="O73" s="17"/>
    </row>
    <row r="74" spans="1:15" x14ac:dyDescent="0.2">
      <c r="A74" t="s">
        <v>37</v>
      </c>
      <c r="G74" s="2"/>
      <c r="J74" s="2"/>
      <c r="M74" s="2"/>
      <c r="N74" s="5"/>
      <c r="O74" s="17"/>
    </row>
    <row r="75" spans="1:15" x14ac:dyDescent="0.2">
      <c r="A75" t="s">
        <v>38</v>
      </c>
      <c r="G75" s="2"/>
      <c r="J75" s="2"/>
      <c r="M75" s="2"/>
      <c r="N75" s="5"/>
      <c r="O75" s="17"/>
    </row>
    <row r="76" spans="1:15" x14ac:dyDescent="0.2">
      <c r="A76" t="s">
        <v>38</v>
      </c>
      <c r="G76" s="2"/>
      <c r="J76" s="2"/>
      <c r="M76" s="2"/>
      <c r="N76" s="5"/>
      <c r="O76" s="17"/>
    </row>
    <row r="77" spans="1:15" x14ac:dyDescent="0.2">
      <c r="A77" t="s">
        <v>39</v>
      </c>
      <c r="G77" s="2"/>
      <c r="J77" s="2"/>
      <c r="M77" s="2"/>
      <c r="N77" s="5"/>
      <c r="O77" s="17"/>
    </row>
    <row r="78" spans="1:15" x14ac:dyDescent="0.2">
      <c r="A78" t="s">
        <v>39</v>
      </c>
      <c r="G78" s="2"/>
      <c r="J78" s="2"/>
      <c r="M78" s="2"/>
      <c r="N78" s="5"/>
      <c r="O78" s="17"/>
    </row>
    <row r="79" spans="1:15" x14ac:dyDescent="0.2">
      <c r="A79" t="s">
        <v>40</v>
      </c>
      <c r="G79" s="2"/>
      <c r="J79" s="2"/>
      <c r="M79" s="2"/>
      <c r="N79" s="5"/>
      <c r="O79" s="17"/>
    </row>
    <row r="80" spans="1:15" x14ac:dyDescent="0.2">
      <c r="A80" t="s">
        <v>40</v>
      </c>
      <c r="G80" s="2"/>
      <c r="J80" s="2"/>
      <c r="M80" s="2"/>
      <c r="N80" s="5"/>
      <c r="O80" s="17"/>
    </row>
    <row r="81" spans="1:15" x14ac:dyDescent="0.2">
      <c r="A81" t="s">
        <v>41</v>
      </c>
      <c r="G81" s="2"/>
      <c r="J81" s="2"/>
      <c r="M81" s="2"/>
      <c r="N81" s="5"/>
      <c r="O81" s="17"/>
    </row>
    <row r="82" spans="1:15" x14ac:dyDescent="0.2">
      <c r="A82" t="s">
        <v>41</v>
      </c>
      <c r="G82" s="2"/>
      <c r="J82" s="2"/>
      <c r="M82" s="2"/>
      <c r="N82" s="5"/>
      <c r="O82" s="17"/>
    </row>
    <row r="83" spans="1:15" x14ac:dyDescent="0.2">
      <c r="G83" s="2"/>
      <c r="J83" s="2"/>
      <c r="M83" s="2"/>
      <c r="N83" s="32"/>
      <c r="O83" s="17"/>
    </row>
    <row r="84" spans="1:15" x14ac:dyDescent="0.2">
      <c r="G84" s="2"/>
      <c r="J84" s="2"/>
      <c r="M84" s="2"/>
      <c r="N84" s="32"/>
      <c r="O84" s="17"/>
    </row>
    <row r="85" spans="1:15" x14ac:dyDescent="0.2">
      <c r="G85" s="2"/>
      <c r="J85" s="2"/>
      <c r="M85" s="2"/>
      <c r="N85" s="32"/>
      <c r="O85" s="17"/>
    </row>
    <row r="86" spans="1:15" x14ac:dyDescent="0.2">
      <c r="G86" s="2"/>
      <c r="J86" s="2"/>
      <c r="M86" s="2"/>
      <c r="N86" s="32"/>
      <c r="O86" s="17"/>
    </row>
    <row r="87" spans="1:15" x14ac:dyDescent="0.2">
      <c r="G87" s="2"/>
      <c r="J87" s="2"/>
      <c r="M87" s="2"/>
      <c r="N87" s="32"/>
      <c r="O87" s="19"/>
    </row>
    <row r="88" spans="1:15" x14ac:dyDescent="0.2">
      <c r="G88" s="2"/>
      <c r="J88" s="2"/>
      <c r="M88" s="2"/>
      <c r="N88" s="33"/>
      <c r="O88" s="17"/>
    </row>
    <row r="89" spans="1:15" x14ac:dyDescent="0.2">
      <c r="G89" s="2"/>
      <c r="J89" s="2"/>
      <c r="M89" s="2"/>
      <c r="N89" s="33"/>
      <c r="O89" s="17"/>
    </row>
    <row r="90" spans="1:15" x14ac:dyDescent="0.2">
      <c r="G90" s="2"/>
      <c r="J90" s="2"/>
      <c r="M90" s="2"/>
      <c r="N90" s="33"/>
      <c r="O90" s="19"/>
    </row>
    <row r="91" spans="1:15" x14ac:dyDescent="0.2">
      <c r="G91" s="2"/>
      <c r="J91" s="2"/>
      <c r="M91" s="2"/>
      <c r="N91" s="33"/>
      <c r="O91" s="17"/>
    </row>
    <row r="92" spans="1:15" x14ac:dyDescent="0.2">
      <c r="G92" s="2"/>
      <c r="J92" s="2"/>
      <c r="M92" s="2"/>
      <c r="N92" s="33"/>
      <c r="O92" s="17"/>
    </row>
    <row r="106" spans="2:17" x14ac:dyDescent="0.2">
      <c r="B106" t="s">
        <v>45</v>
      </c>
      <c r="C106" s="39">
        <v>1</v>
      </c>
      <c r="D106" s="39">
        <v>5</v>
      </c>
      <c r="E106" s="39">
        <v>11</v>
      </c>
      <c r="F106" s="39">
        <v>8105304659</v>
      </c>
      <c r="G106" s="39">
        <v>5</v>
      </c>
      <c r="H106" s="39">
        <v>10</v>
      </c>
      <c r="I106" s="39">
        <v>7368458781</v>
      </c>
      <c r="J106" s="39">
        <v>5</v>
      </c>
      <c r="K106" s="39">
        <v>9</v>
      </c>
      <c r="L106" s="39">
        <v>6631612903</v>
      </c>
      <c r="M106" s="12">
        <v>7370000000</v>
      </c>
      <c r="N106" s="40">
        <v>27.9</v>
      </c>
      <c r="O106" s="39">
        <v>1000</v>
      </c>
      <c r="P106" s="39">
        <v>36.842293900000001</v>
      </c>
      <c r="Q106" s="39">
        <v>5.0000000000000001E-3</v>
      </c>
    </row>
    <row r="107" spans="2:17" x14ac:dyDescent="0.2">
      <c r="C107" s="39">
        <v>2</v>
      </c>
      <c r="D107" s="39">
        <v>5</v>
      </c>
      <c r="E107" s="39">
        <v>4</v>
      </c>
      <c r="F107" s="39">
        <v>5794285714</v>
      </c>
      <c r="G107" s="39">
        <v>4</v>
      </c>
      <c r="H107" s="39">
        <v>19</v>
      </c>
      <c r="I107" s="39">
        <v>2752285714</v>
      </c>
      <c r="J107" s="39">
        <v>4</v>
      </c>
      <c r="K107" s="39">
        <v>17</v>
      </c>
      <c r="L107" s="39">
        <v>2462571429</v>
      </c>
      <c r="M107" s="12">
        <v>3670000000</v>
      </c>
      <c r="N107" s="41">
        <v>14</v>
      </c>
      <c r="O107" s="39">
        <v>1000</v>
      </c>
      <c r="P107" s="39">
        <v>72.428571399999996</v>
      </c>
      <c r="Q107" s="39">
        <v>5.0000000000000001E-3</v>
      </c>
    </row>
    <row r="108" spans="2:17" x14ac:dyDescent="0.2">
      <c r="C108" s="39">
        <v>3</v>
      </c>
      <c r="D108" s="39">
        <v>5</v>
      </c>
      <c r="E108" s="39">
        <v>10</v>
      </c>
      <c r="F108" s="39">
        <v>8200000000</v>
      </c>
      <c r="G108" s="39">
        <v>5</v>
      </c>
      <c r="H108" s="39">
        <v>11</v>
      </c>
      <c r="I108" s="39">
        <v>9020000000</v>
      </c>
      <c r="J108" s="39">
        <v>5</v>
      </c>
      <c r="K108" s="39">
        <v>6</v>
      </c>
      <c r="L108" s="39">
        <v>4920000000</v>
      </c>
      <c r="M108" s="12">
        <v>7380000000</v>
      </c>
      <c r="N108" s="41">
        <v>25</v>
      </c>
      <c r="O108" s="39">
        <v>1000</v>
      </c>
      <c r="P108" s="39">
        <v>41</v>
      </c>
      <c r="Q108" s="39">
        <v>5.0000000000000001E-3</v>
      </c>
    </row>
    <row r="109" spans="2:17" x14ac:dyDescent="0.2">
      <c r="C109" s="39">
        <v>4</v>
      </c>
      <c r="D109" s="39">
        <v>5</v>
      </c>
      <c r="E109" s="39">
        <v>3</v>
      </c>
      <c r="F109" s="39">
        <v>4675384615</v>
      </c>
      <c r="G109" s="39">
        <v>5</v>
      </c>
      <c r="H109" s="39">
        <v>3</v>
      </c>
      <c r="I109" s="39">
        <v>4675384615</v>
      </c>
      <c r="J109" s="39">
        <v>4</v>
      </c>
      <c r="K109" s="39">
        <v>17</v>
      </c>
      <c r="L109" s="39">
        <v>2649384615</v>
      </c>
      <c r="M109" s="12">
        <v>4000000000</v>
      </c>
      <c r="N109" s="41">
        <v>13</v>
      </c>
      <c r="O109" s="39">
        <v>1000</v>
      </c>
      <c r="P109" s="39">
        <v>77.923076899999998</v>
      </c>
      <c r="Q109" s="39">
        <v>5.0000000000000001E-3</v>
      </c>
    </row>
    <row r="110" spans="2:17" x14ac:dyDescent="0.2">
      <c r="C110" s="42">
        <v>5</v>
      </c>
      <c r="D110" s="42">
        <v>5</v>
      </c>
      <c r="E110" s="42">
        <v>4</v>
      </c>
      <c r="F110" s="42">
        <v>5413333333</v>
      </c>
      <c r="G110" s="42">
        <v>4</v>
      </c>
      <c r="H110" s="42">
        <v>22</v>
      </c>
      <c r="I110" s="42">
        <v>2977333333</v>
      </c>
      <c r="J110" s="42">
        <v>4</v>
      </c>
      <c r="K110" s="42">
        <v>16</v>
      </c>
      <c r="L110" s="42">
        <v>2165333333</v>
      </c>
      <c r="M110" s="14">
        <v>3520000000</v>
      </c>
      <c r="N110" s="43">
        <v>15</v>
      </c>
      <c r="O110" s="42">
        <v>1000</v>
      </c>
      <c r="P110" s="42">
        <v>67.666666699999993</v>
      </c>
      <c r="Q110" s="42">
        <v>5.0000000000000001E-3</v>
      </c>
    </row>
    <row r="111" spans="2:17" x14ac:dyDescent="0.2">
      <c r="B111" t="s">
        <v>44</v>
      </c>
      <c r="C111" s="39">
        <v>1</v>
      </c>
      <c r="D111" s="39"/>
      <c r="E111" s="39"/>
      <c r="F111" s="39">
        <v>7792307692</v>
      </c>
      <c r="G111" s="39">
        <v>5</v>
      </c>
      <c r="H111" s="39">
        <v>4</v>
      </c>
      <c r="I111" s="39">
        <v>6233846154</v>
      </c>
      <c r="J111" s="39">
        <v>5</v>
      </c>
      <c r="K111" s="39">
        <v>4</v>
      </c>
      <c r="L111" s="39">
        <v>6233846154</v>
      </c>
      <c r="M111" s="12">
        <v>6750000000</v>
      </c>
      <c r="N111" s="37">
        <v>13</v>
      </c>
      <c r="O111" s="39">
        <v>1000</v>
      </c>
      <c r="P111" s="39">
        <v>77.923076899999998</v>
      </c>
      <c r="Q111" s="39">
        <v>5.0000000000000001E-3</v>
      </c>
    </row>
    <row r="112" spans="2:17" x14ac:dyDescent="0.2">
      <c r="C112" s="39">
        <v>2</v>
      </c>
      <c r="D112" s="39"/>
      <c r="E112" s="39"/>
      <c r="F112" s="39">
        <v>7352727273</v>
      </c>
      <c r="G112" s="39">
        <v>4</v>
      </c>
      <c r="H112" s="39">
        <v>23</v>
      </c>
      <c r="I112" s="39">
        <v>4227818182</v>
      </c>
      <c r="J112" s="39">
        <v>4</v>
      </c>
      <c r="K112" s="39">
        <v>18</v>
      </c>
      <c r="L112" s="39">
        <v>3308727273</v>
      </c>
      <c r="M112" s="12">
        <v>4960000000</v>
      </c>
      <c r="N112" s="37">
        <v>11</v>
      </c>
      <c r="O112" s="39">
        <v>1000</v>
      </c>
      <c r="P112" s="39">
        <v>91.909090899999995</v>
      </c>
      <c r="Q112" s="39">
        <v>5.0000000000000001E-3</v>
      </c>
    </row>
    <row r="113" spans="3:17" x14ac:dyDescent="0.2">
      <c r="C113" s="39">
        <v>3</v>
      </c>
      <c r="D113" s="39"/>
      <c r="E113" s="39"/>
      <c r="F113" s="39">
        <v>5566000000</v>
      </c>
      <c r="G113" s="39">
        <v>4</v>
      </c>
      <c r="H113" s="39">
        <v>25</v>
      </c>
      <c r="I113" s="39">
        <v>4216666667</v>
      </c>
      <c r="J113" s="39">
        <v>5</v>
      </c>
      <c r="K113" s="39">
        <v>3</v>
      </c>
      <c r="L113" s="39">
        <v>5060000000</v>
      </c>
      <c r="M113" s="12">
        <v>4950000000</v>
      </c>
      <c r="N113" s="37">
        <v>12</v>
      </c>
      <c r="O113" s="39">
        <v>1000</v>
      </c>
      <c r="P113" s="39">
        <v>84.333333300000007</v>
      </c>
      <c r="Q113" s="39">
        <v>5.0000000000000001E-3</v>
      </c>
    </row>
    <row r="114" spans="3:17" x14ac:dyDescent="0.2">
      <c r="C114" s="39">
        <v>4</v>
      </c>
      <c r="D114" s="39"/>
      <c r="E114" s="39"/>
      <c r="F114" s="39">
        <v>16543636364</v>
      </c>
      <c r="G114" s="39">
        <v>4</v>
      </c>
      <c r="H114" s="39">
        <v>17</v>
      </c>
      <c r="I114" s="39">
        <v>3124909091</v>
      </c>
      <c r="J114" s="39">
        <v>4</v>
      </c>
      <c r="K114" s="39">
        <v>29</v>
      </c>
      <c r="L114" s="39">
        <v>5330727273</v>
      </c>
      <c r="M114" s="12">
        <v>8330000000</v>
      </c>
      <c r="N114" s="37">
        <v>11</v>
      </c>
      <c r="O114" s="39">
        <v>1000</v>
      </c>
      <c r="P114" s="39">
        <v>91.909090899999995</v>
      </c>
      <c r="Q114" s="39">
        <v>5.0000000000000001E-3</v>
      </c>
    </row>
    <row r="115" spans="3:17" x14ac:dyDescent="0.2">
      <c r="C115" s="42">
        <v>5</v>
      </c>
      <c r="D115" s="42"/>
      <c r="E115" s="42"/>
      <c r="F115" s="42">
        <v>2024000000</v>
      </c>
      <c r="G115" s="42">
        <v>4</v>
      </c>
      <c r="H115" s="42">
        <v>15</v>
      </c>
      <c r="I115" s="42">
        <v>2530000000</v>
      </c>
      <c r="J115" s="42">
        <v>4</v>
      </c>
      <c r="K115" s="42">
        <v>18</v>
      </c>
      <c r="L115" s="42">
        <v>3036000000</v>
      </c>
      <c r="M115" s="14">
        <v>2530000000</v>
      </c>
      <c r="N115" s="38">
        <v>12</v>
      </c>
      <c r="O115" s="42">
        <v>1000</v>
      </c>
      <c r="P115" s="42">
        <v>84.333333300000007</v>
      </c>
      <c r="Q115" s="42">
        <v>5.0000000000000001E-3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9F4E-156D-6744-AE36-39F857C0DEC1}">
  <dimension ref="A1:AA115"/>
  <sheetViews>
    <sheetView zoomScale="94" workbookViewId="0">
      <selection activeCell="N3" sqref="N3:N32"/>
    </sheetView>
  </sheetViews>
  <sheetFormatPr baseColWidth="10" defaultRowHeight="16" x14ac:dyDescent="0.2"/>
  <cols>
    <col min="2" max="6" width="11.1640625" bestFit="1" customWidth="1"/>
    <col min="7" max="7" width="12.1640625" bestFit="1" customWidth="1"/>
    <col min="8" max="9" width="11.1640625" bestFit="1" customWidth="1"/>
    <col min="10" max="10" width="12.1640625" bestFit="1" customWidth="1"/>
    <col min="11" max="12" width="11.1640625" bestFit="1" customWidth="1"/>
    <col min="13" max="13" width="13.33203125" bestFit="1" customWidth="1"/>
    <col min="14" max="14" width="11.5" bestFit="1" customWidth="1"/>
    <col min="15" max="18" width="11" bestFit="1" customWidth="1"/>
    <col min="21" max="21" width="11.1640625" bestFit="1" customWidth="1"/>
  </cols>
  <sheetData>
    <row r="1" spans="2:27" x14ac:dyDescent="0.2">
      <c r="E1" t="s">
        <v>0</v>
      </c>
      <c r="H1" t="s">
        <v>1</v>
      </c>
      <c r="K1" t="s">
        <v>2</v>
      </c>
    </row>
    <row r="2" spans="2:27" x14ac:dyDescent="0.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s="8" t="s">
        <v>9</v>
      </c>
      <c r="O2" t="s">
        <v>10</v>
      </c>
      <c r="P2" t="s">
        <v>11</v>
      </c>
      <c r="Q2" t="s">
        <v>12</v>
      </c>
      <c r="R2" t="s">
        <v>13</v>
      </c>
      <c r="AA2" t="s">
        <v>14</v>
      </c>
    </row>
    <row r="3" spans="2:27" x14ac:dyDescent="0.2">
      <c r="B3">
        <v>1</v>
      </c>
      <c r="C3">
        <v>3</v>
      </c>
      <c r="D3">
        <v>1</v>
      </c>
      <c r="E3">
        <v>4</v>
      </c>
      <c r="F3">
        <v>3</v>
      </c>
      <c r="G3">
        <f t="shared" ref="G3:G7" si="0">F3*10^E3/R3*Q3</f>
        <v>434571428.5714286</v>
      </c>
      <c r="H3">
        <v>4</v>
      </c>
      <c r="I3">
        <v>3</v>
      </c>
      <c r="J3">
        <f t="shared" ref="J3:J7" si="1">I3*10^H3/R3*Q3</f>
        <v>434571428.5714286</v>
      </c>
      <c r="K3">
        <v>4</v>
      </c>
      <c r="L3">
        <v>3</v>
      </c>
      <c r="M3">
        <f t="shared" ref="M3:M7" si="2">L3*10^K3/R3*Q3</f>
        <v>434571428.5714286</v>
      </c>
      <c r="N3" s="5">
        <f t="shared" ref="N3:N7" si="3">AVERAGE(G3,J3,M3)</f>
        <v>434571428.5714286</v>
      </c>
      <c r="O3" s="34">
        <v>14</v>
      </c>
      <c r="P3">
        <v>1000</v>
      </c>
      <c r="Q3">
        <f t="shared" ref="Q3:Q7" si="4">(P3+O3)/O3</f>
        <v>72.428571428571431</v>
      </c>
      <c r="R3">
        <f t="shared" ref="R3:R32" si="5">5/1000</f>
        <v>5.0000000000000001E-3</v>
      </c>
      <c r="T3" t="s">
        <v>43</v>
      </c>
      <c r="AA3" t="s">
        <v>15</v>
      </c>
    </row>
    <row r="4" spans="2:27" x14ac:dyDescent="0.2">
      <c r="B4">
        <v>1</v>
      </c>
      <c r="C4">
        <v>3</v>
      </c>
      <c r="D4">
        <f>D3+1</f>
        <v>2</v>
      </c>
      <c r="E4">
        <v>3</v>
      </c>
      <c r="F4">
        <v>15</v>
      </c>
      <c r="G4">
        <f t="shared" si="0"/>
        <v>190500000</v>
      </c>
      <c r="H4">
        <v>3</v>
      </c>
      <c r="I4">
        <v>8</v>
      </c>
      <c r="J4">
        <f t="shared" si="1"/>
        <v>101600000</v>
      </c>
      <c r="K4">
        <v>3</v>
      </c>
      <c r="L4">
        <v>13</v>
      </c>
      <c r="M4">
        <f t="shared" si="2"/>
        <v>165100000</v>
      </c>
      <c r="N4" s="5">
        <f t="shared" si="3"/>
        <v>152400000</v>
      </c>
      <c r="O4" s="15">
        <v>16</v>
      </c>
      <c r="P4">
        <v>1000</v>
      </c>
      <c r="Q4">
        <f t="shared" si="4"/>
        <v>63.5</v>
      </c>
      <c r="R4">
        <f t="shared" si="5"/>
        <v>5.0000000000000001E-3</v>
      </c>
      <c r="AA4" t="s">
        <v>16</v>
      </c>
    </row>
    <row r="5" spans="2:27" x14ac:dyDescent="0.2">
      <c r="B5">
        <v>1</v>
      </c>
      <c r="C5">
        <v>3</v>
      </c>
      <c r="D5">
        <f>D4+1</f>
        <v>3</v>
      </c>
      <c r="E5">
        <v>4</v>
      </c>
      <c r="F5">
        <v>4</v>
      </c>
      <c r="G5">
        <f t="shared" si="0"/>
        <v>408000000</v>
      </c>
      <c r="H5">
        <v>4</v>
      </c>
      <c r="I5">
        <v>5</v>
      </c>
      <c r="J5">
        <f t="shared" si="1"/>
        <v>510000000</v>
      </c>
      <c r="K5">
        <v>3</v>
      </c>
      <c r="L5">
        <v>24</v>
      </c>
      <c r="M5">
        <f t="shared" si="2"/>
        <v>244800000</v>
      </c>
      <c r="N5" s="5">
        <f t="shared" si="3"/>
        <v>387600000</v>
      </c>
      <c r="O5" s="15">
        <v>20</v>
      </c>
      <c r="P5">
        <v>1000</v>
      </c>
      <c r="Q5">
        <f t="shared" si="4"/>
        <v>51</v>
      </c>
      <c r="R5">
        <f t="shared" si="5"/>
        <v>5.0000000000000001E-3</v>
      </c>
      <c r="AA5" t="s">
        <v>17</v>
      </c>
    </row>
    <row r="6" spans="2:27" x14ac:dyDescent="0.2">
      <c r="B6">
        <v>1</v>
      </c>
      <c r="C6">
        <v>3</v>
      </c>
      <c r="D6">
        <f>D5+1</f>
        <v>4</v>
      </c>
      <c r="G6" t="e">
        <f t="shared" si="0"/>
        <v>#DIV/0!</v>
      </c>
      <c r="J6" t="e">
        <f t="shared" si="1"/>
        <v>#DIV/0!</v>
      </c>
      <c r="M6" t="e">
        <f t="shared" si="2"/>
        <v>#DIV/0!</v>
      </c>
      <c r="N6" s="5" t="e">
        <f t="shared" si="3"/>
        <v>#DIV/0!</v>
      </c>
      <c r="O6" s="15">
        <v>0</v>
      </c>
      <c r="P6">
        <v>1000</v>
      </c>
      <c r="Q6" t="e">
        <f t="shared" si="4"/>
        <v>#DIV/0!</v>
      </c>
      <c r="R6">
        <f t="shared" si="5"/>
        <v>5.0000000000000001E-3</v>
      </c>
      <c r="AA6" t="s">
        <v>18</v>
      </c>
    </row>
    <row r="7" spans="2:27" x14ac:dyDescent="0.2">
      <c r="B7" s="4">
        <v>1</v>
      </c>
      <c r="C7">
        <v>3</v>
      </c>
      <c r="D7" s="4">
        <f>D6+1</f>
        <v>5</v>
      </c>
      <c r="E7" s="4">
        <v>4</v>
      </c>
      <c r="F7" s="4">
        <v>5</v>
      </c>
      <c r="G7" s="4">
        <f t="shared" si="0"/>
        <v>510000000</v>
      </c>
      <c r="H7" s="4">
        <v>4</v>
      </c>
      <c r="I7" s="4">
        <v>8</v>
      </c>
      <c r="J7" s="4">
        <f t="shared" si="1"/>
        <v>816000000</v>
      </c>
      <c r="K7" s="4">
        <v>4</v>
      </c>
      <c r="L7" s="4">
        <v>9</v>
      </c>
      <c r="M7" s="4">
        <f t="shared" si="2"/>
        <v>918000000</v>
      </c>
      <c r="N7" s="35">
        <f t="shared" si="3"/>
        <v>748000000</v>
      </c>
      <c r="O7" s="16">
        <v>20</v>
      </c>
      <c r="P7" s="4">
        <v>1000</v>
      </c>
      <c r="Q7" s="4">
        <f t="shared" si="4"/>
        <v>51</v>
      </c>
      <c r="R7" s="4">
        <f t="shared" si="5"/>
        <v>5.0000000000000001E-3</v>
      </c>
    </row>
    <row r="8" spans="2:27" x14ac:dyDescent="0.2">
      <c r="B8">
        <f>B3+1</f>
        <v>2</v>
      </c>
      <c r="C8">
        <v>3</v>
      </c>
      <c r="D8">
        <v>1</v>
      </c>
      <c r="E8">
        <v>4</v>
      </c>
      <c r="F8">
        <v>8</v>
      </c>
      <c r="G8">
        <f t="shared" ref="G8:G12" si="6">F8*10^E8/R8*Q8</f>
        <v>1158857142.8571429</v>
      </c>
      <c r="H8">
        <v>4</v>
      </c>
      <c r="I8">
        <v>5</v>
      </c>
      <c r="J8">
        <f t="shared" ref="J8:J12" si="7">I8*10^H8/R8*Q8</f>
        <v>724285714.28571427</v>
      </c>
      <c r="K8">
        <v>4</v>
      </c>
      <c r="L8">
        <v>6</v>
      </c>
      <c r="M8">
        <f t="shared" ref="M8:M12" si="8">L8*10^K8/R8*Q8</f>
        <v>869142857.14285719</v>
      </c>
      <c r="N8" s="5">
        <f t="shared" ref="N8:N12" si="9">AVERAGE(G8,J8,M8)</f>
        <v>917428571.42857134</v>
      </c>
      <c r="O8" s="34">
        <v>14</v>
      </c>
      <c r="P8">
        <v>1000</v>
      </c>
      <c r="Q8">
        <f t="shared" ref="Q8:Q12" si="10">(P8+O8)/O8</f>
        <v>72.428571428571431</v>
      </c>
      <c r="R8">
        <f t="shared" si="5"/>
        <v>5.0000000000000001E-3</v>
      </c>
      <c r="T8" t="s">
        <v>43</v>
      </c>
      <c r="AA8" t="s">
        <v>19</v>
      </c>
    </row>
    <row r="9" spans="2:27" x14ac:dyDescent="0.2">
      <c r="B9">
        <f t="shared" ref="B9:B32" si="11">B4+1</f>
        <v>2</v>
      </c>
      <c r="C9">
        <v>3</v>
      </c>
      <c r="D9">
        <f>D8+1</f>
        <v>2</v>
      </c>
      <c r="E9">
        <v>4</v>
      </c>
      <c r="F9">
        <v>5</v>
      </c>
      <c r="G9">
        <f t="shared" si="6"/>
        <v>510000000</v>
      </c>
      <c r="H9">
        <v>4</v>
      </c>
      <c r="I9">
        <v>5</v>
      </c>
      <c r="J9">
        <f t="shared" si="7"/>
        <v>510000000</v>
      </c>
      <c r="K9">
        <v>4</v>
      </c>
      <c r="L9">
        <v>4</v>
      </c>
      <c r="M9">
        <f t="shared" si="8"/>
        <v>408000000</v>
      </c>
      <c r="N9" s="5">
        <f t="shared" si="9"/>
        <v>476000000</v>
      </c>
      <c r="O9" s="15">
        <v>20</v>
      </c>
      <c r="P9">
        <v>1000</v>
      </c>
      <c r="Q9">
        <f t="shared" si="10"/>
        <v>51</v>
      </c>
      <c r="R9">
        <f t="shared" si="5"/>
        <v>5.0000000000000001E-3</v>
      </c>
      <c r="AA9" t="s">
        <v>20</v>
      </c>
    </row>
    <row r="10" spans="2:27" x14ac:dyDescent="0.2">
      <c r="B10">
        <f t="shared" si="11"/>
        <v>2</v>
      </c>
      <c r="C10">
        <v>3</v>
      </c>
      <c r="D10">
        <f>D9+1</f>
        <v>3</v>
      </c>
      <c r="E10">
        <v>5</v>
      </c>
      <c r="F10">
        <v>6</v>
      </c>
      <c r="G10">
        <f t="shared" si="6"/>
        <v>7620000000</v>
      </c>
      <c r="H10">
        <v>4</v>
      </c>
      <c r="I10">
        <v>27</v>
      </c>
      <c r="J10">
        <f t="shared" si="7"/>
        <v>3429000000</v>
      </c>
      <c r="K10">
        <v>4</v>
      </c>
      <c r="L10">
        <v>20</v>
      </c>
      <c r="M10">
        <f t="shared" si="8"/>
        <v>2540000000</v>
      </c>
      <c r="N10" s="5">
        <f t="shared" si="9"/>
        <v>4529666666.666667</v>
      </c>
      <c r="O10" s="15">
        <v>16</v>
      </c>
      <c r="P10">
        <v>1000</v>
      </c>
      <c r="Q10">
        <f t="shared" si="10"/>
        <v>63.5</v>
      </c>
      <c r="R10">
        <f t="shared" si="5"/>
        <v>5.0000000000000001E-3</v>
      </c>
    </row>
    <row r="11" spans="2:27" x14ac:dyDescent="0.2">
      <c r="B11">
        <f t="shared" si="11"/>
        <v>2</v>
      </c>
      <c r="C11">
        <v>3</v>
      </c>
      <c r="D11">
        <f>D10+1</f>
        <v>4</v>
      </c>
      <c r="E11">
        <v>5</v>
      </c>
      <c r="F11">
        <v>8</v>
      </c>
      <c r="G11">
        <f t="shared" si="6"/>
        <v>8160000000</v>
      </c>
      <c r="H11">
        <v>5</v>
      </c>
      <c r="I11">
        <v>6</v>
      </c>
      <c r="J11">
        <f t="shared" si="7"/>
        <v>6120000000</v>
      </c>
      <c r="K11">
        <v>5</v>
      </c>
      <c r="L11">
        <v>4</v>
      </c>
      <c r="M11">
        <f t="shared" si="8"/>
        <v>4080000000</v>
      </c>
      <c r="N11" s="5">
        <f t="shared" si="9"/>
        <v>6120000000</v>
      </c>
      <c r="O11" s="15">
        <v>20</v>
      </c>
      <c r="P11">
        <v>1000</v>
      </c>
      <c r="Q11">
        <f t="shared" si="10"/>
        <v>51</v>
      </c>
      <c r="R11">
        <f t="shared" si="5"/>
        <v>5.0000000000000001E-3</v>
      </c>
      <c r="AA11" t="s">
        <v>21</v>
      </c>
    </row>
    <row r="12" spans="2:27" x14ac:dyDescent="0.2">
      <c r="B12">
        <f t="shared" si="11"/>
        <v>2</v>
      </c>
      <c r="C12">
        <v>3</v>
      </c>
      <c r="D12" s="4">
        <f>D11+1</f>
        <v>5</v>
      </c>
      <c r="E12" s="4"/>
      <c r="F12" s="4"/>
      <c r="G12" s="4" t="e">
        <f t="shared" si="6"/>
        <v>#DIV/0!</v>
      </c>
      <c r="H12" s="4"/>
      <c r="I12" s="4"/>
      <c r="J12" s="4" t="e">
        <f t="shared" si="7"/>
        <v>#DIV/0!</v>
      </c>
      <c r="K12" s="4"/>
      <c r="L12" s="4"/>
      <c r="M12" s="4" t="e">
        <f t="shared" si="8"/>
        <v>#DIV/0!</v>
      </c>
      <c r="N12" s="35" t="e">
        <f t="shared" si="9"/>
        <v>#DIV/0!</v>
      </c>
      <c r="O12" s="16">
        <v>0</v>
      </c>
      <c r="P12" s="4">
        <v>1000</v>
      </c>
      <c r="Q12" s="4" t="e">
        <f t="shared" si="10"/>
        <v>#DIV/0!</v>
      </c>
      <c r="R12" s="4">
        <f t="shared" si="5"/>
        <v>5.0000000000000001E-3</v>
      </c>
      <c r="AA12" t="s">
        <v>22</v>
      </c>
    </row>
    <row r="13" spans="2:27" x14ac:dyDescent="0.2">
      <c r="B13">
        <f>B8+1</f>
        <v>3</v>
      </c>
      <c r="C13">
        <v>3</v>
      </c>
      <c r="D13">
        <v>1</v>
      </c>
      <c r="E13">
        <v>5</v>
      </c>
      <c r="F13">
        <v>11</v>
      </c>
      <c r="G13">
        <f t="shared" ref="G13:G32" si="12">F13*10^E13/R13*Q13</f>
        <v>8105304659.498209</v>
      </c>
      <c r="H13">
        <v>5</v>
      </c>
      <c r="I13">
        <v>10</v>
      </c>
      <c r="J13">
        <f t="shared" ref="J13:J32" si="13">I13*10^H13/R13*Q13</f>
        <v>7368458781.3620081</v>
      </c>
      <c r="K13">
        <v>5</v>
      </c>
      <c r="L13">
        <v>9</v>
      </c>
      <c r="M13">
        <f t="shared" ref="M13:M32" si="14">L13*10^K13/R13*Q13</f>
        <v>6631612903.2258072</v>
      </c>
      <c r="N13" s="5">
        <f t="shared" ref="N13:N32" si="15">AVERAGE(G13,J13,M13)</f>
        <v>7368458781.3620081</v>
      </c>
      <c r="O13" s="34">
        <v>27.9</v>
      </c>
      <c r="P13">
        <v>1000</v>
      </c>
      <c r="Q13">
        <f t="shared" ref="Q13:Q32" si="16">(P13+O13)/O13</f>
        <v>36.842293906810042</v>
      </c>
      <c r="R13">
        <f t="shared" si="5"/>
        <v>5.0000000000000001E-3</v>
      </c>
      <c r="AA13" t="s">
        <v>23</v>
      </c>
    </row>
    <row r="14" spans="2:27" x14ac:dyDescent="0.2">
      <c r="B14">
        <f t="shared" si="11"/>
        <v>3</v>
      </c>
      <c r="C14">
        <v>3</v>
      </c>
      <c r="D14">
        <f>D13+1</f>
        <v>2</v>
      </c>
      <c r="E14">
        <v>5</v>
      </c>
      <c r="F14">
        <v>4</v>
      </c>
      <c r="G14">
        <f t="shared" si="12"/>
        <v>5794285714.2857141</v>
      </c>
      <c r="H14">
        <v>4</v>
      </c>
      <c r="I14">
        <v>19</v>
      </c>
      <c r="J14">
        <f t="shared" si="13"/>
        <v>2752285714.2857141</v>
      </c>
      <c r="K14">
        <v>4</v>
      </c>
      <c r="L14">
        <v>17</v>
      </c>
      <c r="M14">
        <f t="shared" si="14"/>
        <v>2462571428.5714288</v>
      </c>
      <c r="N14" s="5">
        <f t="shared" si="15"/>
        <v>3669714285.7142854</v>
      </c>
      <c r="O14" s="15">
        <v>14</v>
      </c>
      <c r="P14">
        <v>1000</v>
      </c>
      <c r="Q14">
        <f t="shared" si="16"/>
        <v>72.428571428571431</v>
      </c>
      <c r="R14">
        <f t="shared" si="5"/>
        <v>5.0000000000000001E-3</v>
      </c>
    </row>
    <row r="15" spans="2:27" x14ac:dyDescent="0.2">
      <c r="B15">
        <f t="shared" si="11"/>
        <v>3</v>
      </c>
      <c r="C15">
        <v>3</v>
      </c>
      <c r="D15">
        <f>D14+1</f>
        <v>3</v>
      </c>
      <c r="E15">
        <v>5</v>
      </c>
      <c r="F15">
        <v>10</v>
      </c>
      <c r="G15">
        <f t="shared" si="12"/>
        <v>8200000000</v>
      </c>
      <c r="H15">
        <v>5</v>
      </c>
      <c r="I15">
        <v>11</v>
      </c>
      <c r="J15">
        <f t="shared" si="13"/>
        <v>9020000000</v>
      </c>
      <c r="K15">
        <v>5</v>
      </c>
      <c r="L15">
        <v>6</v>
      </c>
      <c r="M15">
        <f t="shared" si="14"/>
        <v>4920000000</v>
      </c>
      <c r="N15" s="5">
        <f t="shared" si="15"/>
        <v>7380000000</v>
      </c>
      <c r="O15" s="15">
        <v>25</v>
      </c>
      <c r="P15">
        <v>1000</v>
      </c>
      <c r="Q15">
        <f t="shared" si="16"/>
        <v>41</v>
      </c>
      <c r="R15">
        <f t="shared" si="5"/>
        <v>5.0000000000000001E-3</v>
      </c>
    </row>
    <row r="16" spans="2:27" x14ac:dyDescent="0.2">
      <c r="B16">
        <f t="shared" si="11"/>
        <v>3</v>
      </c>
      <c r="C16">
        <v>3</v>
      </c>
      <c r="D16">
        <f>D15+1</f>
        <v>4</v>
      </c>
      <c r="E16">
        <v>5</v>
      </c>
      <c r="F16">
        <v>3</v>
      </c>
      <c r="G16">
        <f t="shared" si="12"/>
        <v>4675384615.3846149</v>
      </c>
      <c r="H16">
        <v>5</v>
      </c>
      <c r="I16">
        <v>3</v>
      </c>
      <c r="J16">
        <f t="shared" si="13"/>
        <v>4675384615.3846149</v>
      </c>
      <c r="K16">
        <v>4</v>
      </c>
      <c r="L16">
        <v>17</v>
      </c>
      <c r="M16">
        <f t="shared" si="14"/>
        <v>2649384615.3846154</v>
      </c>
      <c r="N16" s="5">
        <f t="shared" si="15"/>
        <v>4000051282.0512815</v>
      </c>
      <c r="O16" s="15">
        <v>13</v>
      </c>
      <c r="P16">
        <v>1000</v>
      </c>
      <c r="Q16">
        <f t="shared" si="16"/>
        <v>77.92307692307692</v>
      </c>
      <c r="R16">
        <f t="shared" si="5"/>
        <v>5.0000000000000001E-3</v>
      </c>
      <c r="U16" s="2"/>
    </row>
    <row r="17" spans="2:21" x14ac:dyDescent="0.2">
      <c r="B17">
        <f t="shared" si="11"/>
        <v>3</v>
      </c>
      <c r="C17">
        <v>3</v>
      </c>
      <c r="D17" s="4">
        <f>D16+1</f>
        <v>5</v>
      </c>
      <c r="E17" s="4">
        <v>5</v>
      </c>
      <c r="F17" s="4">
        <v>4</v>
      </c>
      <c r="G17" s="4">
        <f t="shared" si="12"/>
        <v>5413333333.333334</v>
      </c>
      <c r="H17" s="4">
        <v>4</v>
      </c>
      <c r="I17" s="4">
        <v>22</v>
      </c>
      <c r="J17" s="4">
        <f t="shared" si="13"/>
        <v>2977333333.3333335</v>
      </c>
      <c r="K17" s="4">
        <v>4</v>
      </c>
      <c r="L17" s="4">
        <v>16</v>
      </c>
      <c r="M17" s="4">
        <f t="shared" si="14"/>
        <v>2165333333.3333335</v>
      </c>
      <c r="N17" s="35">
        <f t="shared" si="15"/>
        <v>3518666666.6666675</v>
      </c>
      <c r="O17" s="16">
        <v>15</v>
      </c>
      <c r="P17" s="4">
        <v>1000</v>
      </c>
      <c r="Q17" s="4">
        <f t="shared" si="16"/>
        <v>67.666666666666671</v>
      </c>
      <c r="R17" s="4">
        <f t="shared" si="5"/>
        <v>5.0000000000000001E-3</v>
      </c>
      <c r="U17" s="2"/>
    </row>
    <row r="18" spans="2:21" x14ac:dyDescent="0.2">
      <c r="B18">
        <f>B13+1</f>
        <v>4</v>
      </c>
      <c r="C18">
        <v>3</v>
      </c>
      <c r="D18">
        <v>1</v>
      </c>
      <c r="E18">
        <v>5</v>
      </c>
      <c r="F18">
        <v>5</v>
      </c>
      <c r="G18">
        <f t="shared" si="12"/>
        <v>7792307692.3076916</v>
      </c>
      <c r="H18">
        <v>5</v>
      </c>
      <c r="I18">
        <v>4</v>
      </c>
      <c r="J18">
        <f t="shared" si="13"/>
        <v>6233846153.8461533</v>
      </c>
      <c r="K18">
        <v>5</v>
      </c>
      <c r="L18">
        <v>4</v>
      </c>
      <c r="M18">
        <f t="shared" si="14"/>
        <v>6233846153.8461533</v>
      </c>
      <c r="N18" s="5">
        <f t="shared" si="15"/>
        <v>6753333333.333333</v>
      </c>
      <c r="O18" s="36">
        <v>13</v>
      </c>
      <c r="P18">
        <v>1000</v>
      </c>
      <c r="Q18">
        <f t="shared" si="16"/>
        <v>77.92307692307692</v>
      </c>
      <c r="R18">
        <f t="shared" si="5"/>
        <v>5.0000000000000001E-3</v>
      </c>
      <c r="U18" s="3"/>
    </row>
    <row r="19" spans="2:21" x14ac:dyDescent="0.2">
      <c r="B19">
        <f t="shared" si="11"/>
        <v>4</v>
      </c>
      <c r="C19">
        <v>3</v>
      </c>
      <c r="D19">
        <f>D18+1</f>
        <v>2</v>
      </c>
      <c r="E19">
        <v>5</v>
      </c>
      <c r="F19">
        <v>4</v>
      </c>
      <c r="G19">
        <f t="shared" si="12"/>
        <v>7352727272.727273</v>
      </c>
      <c r="H19">
        <v>4</v>
      </c>
      <c r="I19">
        <v>23</v>
      </c>
      <c r="J19">
        <f t="shared" si="13"/>
        <v>4227818181.8181815</v>
      </c>
      <c r="K19">
        <v>4</v>
      </c>
      <c r="L19">
        <v>18</v>
      </c>
      <c r="M19">
        <f t="shared" si="14"/>
        <v>3308727272.7272725</v>
      </c>
      <c r="N19" s="5">
        <f t="shared" si="15"/>
        <v>4963090909.090909</v>
      </c>
      <c r="O19" s="37">
        <v>11</v>
      </c>
      <c r="P19">
        <v>1000</v>
      </c>
      <c r="Q19">
        <f t="shared" si="16"/>
        <v>91.909090909090907</v>
      </c>
      <c r="R19">
        <f t="shared" si="5"/>
        <v>5.0000000000000001E-3</v>
      </c>
    </row>
    <row r="20" spans="2:21" x14ac:dyDescent="0.2">
      <c r="B20">
        <f t="shared" si="11"/>
        <v>4</v>
      </c>
      <c r="C20">
        <v>3</v>
      </c>
      <c r="D20">
        <f>D19+1</f>
        <v>3</v>
      </c>
      <c r="E20">
        <v>4</v>
      </c>
      <c r="F20">
        <v>33</v>
      </c>
      <c r="G20">
        <f t="shared" si="12"/>
        <v>5566000000</v>
      </c>
      <c r="H20">
        <v>4</v>
      </c>
      <c r="I20">
        <v>25</v>
      </c>
      <c r="J20">
        <f t="shared" si="13"/>
        <v>4216666666.6666665</v>
      </c>
      <c r="K20">
        <v>5</v>
      </c>
      <c r="L20">
        <v>3</v>
      </c>
      <c r="M20">
        <f t="shared" si="14"/>
        <v>5060000000</v>
      </c>
      <c r="N20" s="5">
        <f t="shared" si="15"/>
        <v>4947555555.5555553</v>
      </c>
      <c r="O20" s="37">
        <v>12</v>
      </c>
      <c r="P20">
        <v>1000</v>
      </c>
      <c r="Q20">
        <f t="shared" si="16"/>
        <v>84.333333333333329</v>
      </c>
      <c r="R20">
        <f t="shared" si="5"/>
        <v>5.0000000000000001E-3</v>
      </c>
    </row>
    <row r="21" spans="2:21" x14ac:dyDescent="0.2">
      <c r="B21">
        <f t="shared" si="11"/>
        <v>4</v>
      </c>
      <c r="C21">
        <v>3</v>
      </c>
      <c r="D21">
        <f>D20+1</f>
        <v>4</v>
      </c>
      <c r="E21">
        <v>5</v>
      </c>
      <c r="F21">
        <v>9</v>
      </c>
      <c r="G21">
        <f t="shared" si="12"/>
        <v>16543636363.636364</v>
      </c>
      <c r="H21">
        <v>4</v>
      </c>
      <c r="I21">
        <v>17</v>
      </c>
      <c r="J21">
        <f t="shared" si="13"/>
        <v>3124909090.909091</v>
      </c>
      <c r="K21">
        <v>4</v>
      </c>
      <c r="L21">
        <v>29</v>
      </c>
      <c r="M21">
        <f t="shared" si="14"/>
        <v>5330727272.727273</v>
      </c>
      <c r="N21" s="5">
        <f t="shared" si="15"/>
        <v>8333090909.090909</v>
      </c>
      <c r="O21" s="37">
        <v>11</v>
      </c>
      <c r="P21">
        <v>1000</v>
      </c>
      <c r="Q21">
        <f t="shared" si="16"/>
        <v>91.909090909090907</v>
      </c>
      <c r="R21">
        <f t="shared" si="5"/>
        <v>5.0000000000000001E-3</v>
      </c>
    </row>
    <row r="22" spans="2:21" x14ac:dyDescent="0.2">
      <c r="B22">
        <f t="shared" si="11"/>
        <v>4</v>
      </c>
      <c r="C22">
        <v>3</v>
      </c>
      <c r="D22" s="4">
        <f>D21+1</f>
        <v>5</v>
      </c>
      <c r="E22" s="4">
        <v>4</v>
      </c>
      <c r="F22" s="4">
        <v>12</v>
      </c>
      <c r="G22" s="4">
        <f t="shared" si="12"/>
        <v>2024000000</v>
      </c>
      <c r="H22" s="4">
        <v>4</v>
      </c>
      <c r="I22" s="4">
        <v>15</v>
      </c>
      <c r="J22" s="4">
        <f t="shared" si="13"/>
        <v>2530000000</v>
      </c>
      <c r="K22" s="4">
        <v>4</v>
      </c>
      <c r="L22" s="4">
        <v>18</v>
      </c>
      <c r="M22" s="4">
        <f t="shared" si="14"/>
        <v>3036000000</v>
      </c>
      <c r="N22" s="35">
        <f t="shared" si="15"/>
        <v>2530000000</v>
      </c>
      <c r="O22" s="38">
        <v>12</v>
      </c>
      <c r="P22" s="4">
        <v>1000</v>
      </c>
      <c r="Q22" s="4">
        <f t="shared" si="16"/>
        <v>84.333333333333329</v>
      </c>
      <c r="R22" s="4">
        <f t="shared" si="5"/>
        <v>5.0000000000000001E-3</v>
      </c>
    </row>
    <row r="23" spans="2:21" x14ac:dyDescent="0.2">
      <c r="B23">
        <f>B18+1</f>
        <v>5</v>
      </c>
      <c r="C23">
        <v>3</v>
      </c>
      <c r="D23">
        <v>1</v>
      </c>
      <c r="E23">
        <v>5</v>
      </c>
      <c r="F23">
        <v>12</v>
      </c>
      <c r="G23">
        <f t="shared" si="12"/>
        <v>11668571428.571428</v>
      </c>
      <c r="H23">
        <v>5</v>
      </c>
      <c r="I23">
        <v>12</v>
      </c>
      <c r="J23">
        <f t="shared" si="13"/>
        <v>11668571428.571428</v>
      </c>
      <c r="K23">
        <v>5</v>
      </c>
      <c r="L23">
        <v>14</v>
      </c>
      <c r="M23">
        <f t="shared" si="14"/>
        <v>13613333333.333334</v>
      </c>
      <c r="N23" s="5">
        <f t="shared" si="15"/>
        <v>12316825396.825396</v>
      </c>
      <c r="O23" s="34">
        <v>21</v>
      </c>
      <c r="P23">
        <v>1000</v>
      </c>
      <c r="Q23">
        <f t="shared" si="16"/>
        <v>48.61904761904762</v>
      </c>
      <c r="R23">
        <f t="shared" si="5"/>
        <v>5.0000000000000001E-3</v>
      </c>
    </row>
    <row r="24" spans="2:21" x14ac:dyDescent="0.2">
      <c r="B24">
        <f t="shared" si="11"/>
        <v>5</v>
      </c>
      <c r="C24">
        <v>3</v>
      </c>
      <c r="D24">
        <f>D23+1</f>
        <v>2</v>
      </c>
      <c r="E24">
        <v>5</v>
      </c>
      <c r="F24">
        <v>4</v>
      </c>
      <c r="G24">
        <f t="shared" si="12"/>
        <v>10080000000</v>
      </c>
      <c r="H24">
        <v>5</v>
      </c>
      <c r="I24">
        <v>4</v>
      </c>
      <c r="J24">
        <f t="shared" si="13"/>
        <v>10080000000</v>
      </c>
      <c r="K24">
        <v>4</v>
      </c>
      <c r="L24">
        <v>37</v>
      </c>
      <c r="M24">
        <f t="shared" si="14"/>
        <v>9324000000</v>
      </c>
      <c r="N24" s="5">
        <f t="shared" si="15"/>
        <v>9828000000</v>
      </c>
      <c r="O24" s="15">
        <v>8</v>
      </c>
      <c r="P24">
        <v>1000</v>
      </c>
      <c r="Q24">
        <f t="shared" si="16"/>
        <v>126</v>
      </c>
      <c r="R24">
        <f t="shared" si="5"/>
        <v>5.0000000000000001E-3</v>
      </c>
    </row>
    <row r="25" spans="2:21" x14ac:dyDescent="0.2">
      <c r="B25">
        <f t="shared" si="11"/>
        <v>5</v>
      </c>
      <c r="C25">
        <v>3</v>
      </c>
      <c r="D25">
        <f>D24+1</f>
        <v>3</v>
      </c>
      <c r="E25">
        <v>5</v>
      </c>
      <c r="F25">
        <v>6</v>
      </c>
      <c r="G25">
        <f t="shared" si="12"/>
        <v>11029090909.090908</v>
      </c>
      <c r="H25">
        <v>5</v>
      </c>
      <c r="I25">
        <v>4</v>
      </c>
      <c r="J25">
        <f t="shared" si="13"/>
        <v>7352727272.727273</v>
      </c>
      <c r="K25">
        <v>5</v>
      </c>
      <c r="L25">
        <v>6</v>
      </c>
      <c r="M25">
        <f t="shared" si="14"/>
        <v>11029090909.090908</v>
      </c>
      <c r="N25" s="5">
        <f t="shared" si="15"/>
        <v>9803636363.6363621</v>
      </c>
      <c r="O25" s="15">
        <v>11</v>
      </c>
      <c r="P25">
        <v>1000</v>
      </c>
      <c r="Q25">
        <f t="shared" si="16"/>
        <v>91.909090909090907</v>
      </c>
      <c r="R25">
        <f t="shared" si="5"/>
        <v>5.0000000000000001E-3</v>
      </c>
    </row>
    <row r="26" spans="2:21" x14ac:dyDescent="0.2">
      <c r="B26">
        <f t="shared" si="11"/>
        <v>5</v>
      </c>
      <c r="C26">
        <v>3</v>
      </c>
      <c r="D26">
        <f>D25+1</f>
        <v>4</v>
      </c>
      <c r="E26">
        <v>4</v>
      </c>
      <c r="F26">
        <v>23</v>
      </c>
      <c r="G26">
        <f t="shared" si="12"/>
        <v>5157111111.1111116</v>
      </c>
      <c r="H26">
        <v>4</v>
      </c>
      <c r="I26">
        <v>4</v>
      </c>
      <c r="J26">
        <v>13</v>
      </c>
      <c r="K26">
        <v>4</v>
      </c>
      <c r="L26">
        <v>4</v>
      </c>
      <c r="M26">
        <v>19</v>
      </c>
      <c r="N26" s="5">
        <f t="shared" si="15"/>
        <v>1719037047.7037039</v>
      </c>
      <c r="O26" s="15">
        <v>9</v>
      </c>
      <c r="P26">
        <v>1000</v>
      </c>
      <c r="Q26">
        <f t="shared" si="16"/>
        <v>112.11111111111111</v>
      </c>
      <c r="R26">
        <f t="shared" si="5"/>
        <v>5.0000000000000001E-3</v>
      </c>
    </row>
    <row r="27" spans="2:21" x14ac:dyDescent="0.2">
      <c r="B27">
        <f t="shared" si="11"/>
        <v>5</v>
      </c>
      <c r="C27">
        <v>3</v>
      </c>
      <c r="D27" s="4">
        <f>D26+1</f>
        <v>5</v>
      </c>
      <c r="E27" s="4">
        <v>4</v>
      </c>
      <c r="F27" s="4">
        <v>12</v>
      </c>
      <c r="G27" s="4">
        <f t="shared" si="12"/>
        <v>2205818181.818182</v>
      </c>
      <c r="H27" s="4">
        <v>4</v>
      </c>
      <c r="I27" s="4">
        <v>17</v>
      </c>
      <c r="J27" s="4">
        <f t="shared" si="13"/>
        <v>3124909090.909091</v>
      </c>
      <c r="K27" s="4">
        <v>4</v>
      </c>
      <c r="L27" s="4">
        <v>13</v>
      </c>
      <c r="M27" s="4">
        <f t="shared" si="14"/>
        <v>2389636363.6363635</v>
      </c>
      <c r="N27" s="35">
        <f t="shared" si="15"/>
        <v>2573454545.4545455</v>
      </c>
      <c r="O27" s="16">
        <v>11</v>
      </c>
      <c r="P27" s="4">
        <v>1000</v>
      </c>
      <c r="Q27" s="4">
        <f t="shared" si="16"/>
        <v>91.909090909090907</v>
      </c>
      <c r="R27" s="4">
        <f t="shared" si="5"/>
        <v>5.0000000000000001E-3</v>
      </c>
    </row>
    <row r="28" spans="2:21" x14ac:dyDescent="0.2">
      <c r="B28">
        <f>B23+1</f>
        <v>6</v>
      </c>
      <c r="C28">
        <v>3</v>
      </c>
      <c r="D28">
        <v>1</v>
      </c>
      <c r="E28">
        <v>4</v>
      </c>
      <c r="F28">
        <v>27</v>
      </c>
      <c r="G28">
        <f t="shared" si="12"/>
        <v>9054000000</v>
      </c>
      <c r="H28">
        <v>4</v>
      </c>
      <c r="I28">
        <v>9</v>
      </c>
      <c r="J28">
        <f t="shared" si="13"/>
        <v>3018000000</v>
      </c>
      <c r="K28">
        <v>4</v>
      </c>
      <c r="L28">
        <v>12</v>
      </c>
      <c r="M28">
        <f t="shared" si="14"/>
        <v>4024000000</v>
      </c>
      <c r="N28" s="5">
        <f t="shared" si="15"/>
        <v>5365333333.333333</v>
      </c>
      <c r="O28" s="34">
        <v>6</v>
      </c>
      <c r="P28">
        <v>1000</v>
      </c>
      <c r="Q28">
        <f t="shared" si="16"/>
        <v>167.66666666666666</v>
      </c>
      <c r="R28">
        <f t="shared" si="5"/>
        <v>5.0000000000000001E-3</v>
      </c>
    </row>
    <row r="29" spans="2:21" x14ac:dyDescent="0.2">
      <c r="B29">
        <f t="shared" si="11"/>
        <v>6</v>
      </c>
      <c r="C29">
        <v>3</v>
      </c>
      <c r="D29">
        <f>D28+1</f>
        <v>2</v>
      </c>
      <c r="E29">
        <v>4</v>
      </c>
      <c r="F29">
        <v>24</v>
      </c>
      <c r="G29">
        <f t="shared" si="12"/>
        <v>6048000000</v>
      </c>
      <c r="H29">
        <v>4</v>
      </c>
      <c r="I29">
        <v>17</v>
      </c>
      <c r="J29">
        <f t="shared" si="13"/>
        <v>4284000000</v>
      </c>
      <c r="K29">
        <v>4</v>
      </c>
      <c r="L29">
        <v>19</v>
      </c>
      <c r="M29">
        <f t="shared" si="14"/>
        <v>4788000000</v>
      </c>
      <c r="N29" s="5">
        <f t="shared" si="15"/>
        <v>5040000000</v>
      </c>
      <c r="O29" s="15">
        <v>8</v>
      </c>
      <c r="P29">
        <v>1000</v>
      </c>
      <c r="Q29">
        <f t="shared" si="16"/>
        <v>126</v>
      </c>
      <c r="R29">
        <f t="shared" si="5"/>
        <v>5.0000000000000001E-3</v>
      </c>
    </row>
    <row r="30" spans="2:21" x14ac:dyDescent="0.2">
      <c r="B30">
        <f t="shared" si="11"/>
        <v>6</v>
      </c>
      <c r="C30">
        <v>3</v>
      </c>
      <c r="D30">
        <f>D29+1</f>
        <v>3</v>
      </c>
      <c r="E30">
        <v>4</v>
      </c>
      <c r="F30">
        <v>5</v>
      </c>
      <c r="G30">
        <f t="shared" si="12"/>
        <v>1676666666.6666665</v>
      </c>
      <c r="H30">
        <v>4</v>
      </c>
      <c r="I30">
        <v>7</v>
      </c>
      <c r="J30">
        <f t="shared" si="13"/>
        <v>2347333333.333333</v>
      </c>
      <c r="K30">
        <v>4</v>
      </c>
      <c r="L30">
        <v>14</v>
      </c>
      <c r="M30">
        <f t="shared" si="14"/>
        <v>4694666666.666666</v>
      </c>
      <c r="N30" s="5">
        <f t="shared" si="15"/>
        <v>2906222222.2222219</v>
      </c>
      <c r="O30" s="15">
        <v>6</v>
      </c>
      <c r="P30">
        <v>1000</v>
      </c>
      <c r="Q30">
        <f t="shared" si="16"/>
        <v>167.66666666666666</v>
      </c>
      <c r="R30">
        <f t="shared" si="5"/>
        <v>5.0000000000000001E-3</v>
      </c>
    </row>
    <row r="31" spans="2:21" x14ac:dyDescent="0.2">
      <c r="B31">
        <f t="shared" si="11"/>
        <v>6</v>
      </c>
      <c r="C31">
        <v>3</v>
      </c>
      <c r="D31">
        <f>D30+1</f>
        <v>4</v>
      </c>
      <c r="G31" t="e">
        <f t="shared" si="12"/>
        <v>#DIV/0!</v>
      </c>
      <c r="J31" t="e">
        <f t="shared" si="13"/>
        <v>#DIV/0!</v>
      </c>
      <c r="M31" t="e">
        <f t="shared" si="14"/>
        <v>#DIV/0!</v>
      </c>
      <c r="N31" s="5" t="e">
        <f t="shared" si="15"/>
        <v>#DIV/0!</v>
      </c>
      <c r="O31" s="15">
        <v>0</v>
      </c>
      <c r="P31">
        <v>1000</v>
      </c>
      <c r="Q31" t="e">
        <f t="shared" si="16"/>
        <v>#DIV/0!</v>
      </c>
      <c r="R31">
        <f t="shared" si="5"/>
        <v>5.0000000000000001E-3</v>
      </c>
    </row>
    <row r="32" spans="2:21" x14ac:dyDescent="0.2">
      <c r="B32">
        <f t="shared" si="11"/>
        <v>6</v>
      </c>
      <c r="C32">
        <v>3</v>
      </c>
      <c r="D32" s="4">
        <f>D31+1</f>
        <v>5</v>
      </c>
      <c r="E32" s="4">
        <v>4</v>
      </c>
      <c r="F32" s="4">
        <v>11</v>
      </c>
      <c r="G32" s="4">
        <f t="shared" si="12"/>
        <v>3688666666.6666665</v>
      </c>
      <c r="H32" s="4">
        <v>4</v>
      </c>
      <c r="I32" s="4">
        <v>5</v>
      </c>
      <c r="J32" s="4">
        <f t="shared" si="13"/>
        <v>1676666666.6666665</v>
      </c>
      <c r="K32" s="4">
        <v>4</v>
      </c>
      <c r="L32" s="4">
        <v>6</v>
      </c>
      <c r="M32" s="4">
        <f t="shared" si="14"/>
        <v>2012000000</v>
      </c>
      <c r="N32" s="35">
        <f t="shared" si="15"/>
        <v>2459111111.1111112</v>
      </c>
      <c r="O32" s="16">
        <v>6</v>
      </c>
      <c r="P32" s="4">
        <v>1000</v>
      </c>
      <c r="Q32" s="4">
        <f t="shared" si="16"/>
        <v>167.66666666666666</v>
      </c>
      <c r="R32" s="4">
        <f t="shared" si="5"/>
        <v>5.0000000000000001E-3</v>
      </c>
    </row>
    <row r="33" spans="1:18" x14ac:dyDescent="0.2">
      <c r="B33" s="1"/>
      <c r="C33" s="1"/>
      <c r="D33" s="1"/>
      <c r="G33" s="2"/>
      <c r="J33" s="2"/>
      <c r="M33" s="2"/>
      <c r="N33" s="5"/>
      <c r="O33" s="15"/>
      <c r="P33" s="1"/>
      <c r="R33" s="1"/>
    </row>
    <row r="34" spans="1:18" x14ac:dyDescent="0.2">
      <c r="G34" s="2"/>
      <c r="J34" s="2"/>
      <c r="M34" s="2"/>
      <c r="N34" s="5"/>
      <c r="O34" s="15"/>
    </row>
    <row r="35" spans="1:18" x14ac:dyDescent="0.2">
      <c r="G35" s="2"/>
      <c r="J35" s="2"/>
      <c r="M35" s="2"/>
      <c r="N35" s="5"/>
      <c r="O35" s="15"/>
    </row>
    <row r="36" spans="1:18" x14ac:dyDescent="0.2">
      <c r="G36" s="2"/>
      <c r="J36" s="2"/>
      <c r="M36" s="2"/>
      <c r="N36" s="5"/>
      <c r="O36" s="15"/>
    </row>
    <row r="37" spans="1:18" x14ac:dyDescent="0.2">
      <c r="G37" s="2"/>
      <c r="J37" s="2"/>
      <c r="M37" s="2"/>
      <c r="N37" s="5"/>
      <c r="O37" s="15"/>
    </row>
    <row r="38" spans="1:18" x14ac:dyDescent="0.2">
      <c r="G38" s="2"/>
      <c r="J38" s="2"/>
      <c r="M38" s="2"/>
      <c r="N38" s="5"/>
      <c r="O38" s="15"/>
    </row>
    <row r="39" spans="1:18" x14ac:dyDescent="0.2">
      <c r="G39" s="2"/>
      <c r="J39" s="2"/>
      <c r="M39" s="2"/>
      <c r="N39" s="5"/>
      <c r="O39" s="15"/>
    </row>
    <row r="40" spans="1:18" x14ac:dyDescent="0.2">
      <c r="G40" s="2"/>
      <c r="J40" s="2"/>
      <c r="M40" s="2"/>
      <c r="N40" s="5"/>
      <c r="O40" s="15"/>
    </row>
    <row r="41" spans="1:18" x14ac:dyDescent="0.2">
      <c r="G41" s="2"/>
      <c r="J41" s="2"/>
      <c r="M41" s="2"/>
      <c r="N41" s="5"/>
      <c r="O41" s="15"/>
    </row>
    <row r="42" spans="1:18" x14ac:dyDescent="0.2">
      <c r="G42" s="2"/>
      <c r="J42" s="2"/>
      <c r="M42" s="2"/>
      <c r="N42" s="5"/>
      <c r="O42" s="15"/>
    </row>
    <row r="43" spans="1:18" x14ac:dyDescent="0.2">
      <c r="A43" t="s">
        <v>37</v>
      </c>
      <c r="G43" s="2"/>
      <c r="J43" s="2"/>
      <c r="M43" s="2"/>
      <c r="N43" s="5"/>
    </row>
    <row r="44" spans="1:18" x14ac:dyDescent="0.2">
      <c r="A44" t="s">
        <v>37</v>
      </c>
      <c r="G44" s="2"/>
      <c r="J44" s="2"/>
      <c r="M44" s="2"/>
      <c r="N44" s="5"/>
    </row>
    <row r="45" spans="1:18" x14ac:dyDescent="0.2">
      <c r="A45" t="s">
        <v>38</v>
      </c>
      <c r="G45" s="2"/>
      <c r="J45" s="2"/>
      <c r="M45" s="2"/>
      <c r="N45" s="5"/>
    </row>
    <row r="46" spans="1:18" x14ac:dyDescent="0.2">
      <c r="A46" t="s">
        <v>38</v>
      </c>
      <c r="G46" s="2"/>
      <c r="J46" s="2"/>
      <c r="M46" s="2"/>
      <c r="N46" s="5"/>
    </row>
    <row r="47" spans="1:18" x14ac:dyDescent="0.2">
      <c r="A47" t="s">
        <v>39</v>
      </c>
      <c r="G47" s="2"/>
      <c r="J47" s="2"/>
      <c r="M47" s="2"/>
      <c r="N47" s="5"/>
    </row>
    <row r="48" spans="1:18" x14ac:dyDescent="0.2">
      <c r="A48" t="s">
        <v>39</v>
      </c>
      <c r="G48" s="2"/>
      <c r="J48" s="2"/>
      <c r="M48" s="2"/>
      <c r="N48" s="5"/>
    </row>
    <row r="49" spans="1:15" x14ac:dyDescent="0.2">
      <c r="A49" t="s">
        <v>40</v>
      </c>
      <c r="G49" s="2"/>
      <c r="J49" s="2"/>
      <c r="M49" s="2"/>
      <c r="N49" s="5"/>
    </row>
    <row r="50" spans="1:15" x14ac:dyDescent="0.2">
      <c r="A50" t="s">
        <v>40</v>
      </c>
      <c r="G50" s="2"/>
      <c r="J50" s="2"/>
      <c r="M50" s="2"/>
      <c r="N50" s="5"/>
    </row>
    <row r="51" spans="1:15" x14ac:dyDescent="0.2">
      <c r="A51" t="s">
        <v>41</v>
      </c>
      <c r="G51" s="2"/>
      <c r="J51" s="2"/>
      <c r="M51" s="2"/>
      <c r="N51" s="5"/>
    </row>
    <row r="52" spans="1:15" x14ac:dyDescent="0.2">
      <c r="A52" t="s">
        <v>41</v>
      </c>
      <c r="G52" s="2"/>
      <c r="J52" s="2"/>
      <c r="M52" s="2"/>
      <c r="N52" s="5"/>
    </row>
    <row r="53" spans="1:15" x14ac:dyDescent="0.2">
      <c r="A53" t="s">
        <v>37</v>
      </c>
      <c r="G53" s="2"/>
      <c r="J53" s="2"/>
      <c r="M53" s="2"/>
      <c r="N53" s="5"/>
      <c r="O53" s="17"/>
    </row>
    <row r="54" spans="1:15" x14ac:dyDescent="0.2">
      <c r="A54" t="s">
        <v>37</v>
      </c>
      <c r="G54" s="2"/>
      <c r="J54" s="2"/>
      <c r="M54" s="2"/>
      <c r="N54" s="5"/>
      <c r="O54" s="17"/>
    </row>
    <row r="55" spans="1:15" x14ac:dyDescent="0.2">
      <c r="A55" t="s">
        <v>38</v>
      </c>
      <c r="G55" s="2"/>
      <c r="J55" s="2"/>
      <c r="M55" s="2"/>
      <c r="N55" s="5"/>
      <c r="O55" s="17"/>
    </row>
    <row r="56" spans="1:15" x14ac:dyDescent="0.2">
      <c r="A56" t="s">
        <v>38</v>
      </c>
      <c r="G56" s="2"/>
      <c r="J56" s="2"/>
      <c r="M56" s="2"/>
      <c r="N56" s="5"/>
      <c r="O56" s="17"/>
    </row>
    <row r="57" spans="1:15" x14ac:dyDescent="0.2">
      <c r="A57" t="s">
        <v>39</v>
      </c>
      <c r="G57" s="2"/>
      <c r="J57" s="2"/>
      <c r="M57" s="2"/>
      <c r="N57" s="5"/>
      <c r="O57" s="17"/>
    </row>
    <row r="58" spans="1:15" x14ac:dyDescent="0.2">
      <c r="A58" t="s">
        <v>39</v>
      </c>
      <c r="G58" s="2"/>
      <c r="J58" s="2"/>
      <c r="M58" s="2"/>
      <c r="N58" s="5"/>
      <c r="O58" s="17"/>
    </row>
    <row r="59" spans="1:15" x14ac:dyDescent="0.2">
      <c r="A59" t="s">
        <v>40</v>
      </c>
      <c r="G59" s="2"/>
      <c r="J59" s="2"/>
      <c r="M59" s="2"/>
      <c r="N59" s="5"/>
      <c r="O59" s="17"/>
    </row>
    <row r="60" spans="1:15" x14ac:dyDescent="0.2">
      <c r="A60" t="s">
        <v>40</v>
      </c>
      <c r="G60" s="2"/>
      <c r="J60" s="2"/>
      <c r="M60" s="2"/>
      <c r="N60" s="5"/>
      <c r="O60" s="17"/>
    </row>
    <row r="61" spans="1:15" x14ac:dyDescent="0.2">
      <c r="A61" t="s">
        <v>41</v>
      </c>
      <c r="G61" s="2"/>
      <c r="J61" s="2"/>
      <c r="M61" s="2"/>
      <c r="N61" s="5"/>
      <c r="O61" s="17"/>
    </row>
    <row r="62" spans="1:15" x14ac:dyDescent="0.2">
      <c r="A62" t="s">
        <v>41</v>
      </c>
      <c r="G62" s="2"/>
      <c r="J62" s="2"/>
      <c r="M62" s="2"/>
      <c r="N62" s="5"/>
      <c r="O62" s="17"/>
    </row>
    <row r="63" spans="1:15" x14ac:dyDescent="0.2">
      <c r="A63" t="s">
        <v>37</v>
      </c>
      <c r="G63" s="2"/>
      <c r="J63" s="2"/>
      <c r="M63" s="2"/>
      <c r="N63" s="5"/>
      <c r="O63" s="17"/>
    </row>
    <row r="64" spans="1:15" x14ac:dyDescent="0.2">
      <c r="A64" t="s">
        <v>37</v>
      </c>
      <c r="G64" s="2"/>
      <c r="J64" s="2"/>
      <c r="M64" s="2"/>
      <c r="N64" s="5"/>
      <c r="O64" s="17"/>
    </row>
    <row r="65" spans="1:15" x14ac:dyDescent="0.2">
      <c r="A65" t="s">
        <v>38</v>
      </c>
      <c r="G65" s="2"/>
      <c r="J65" s="2"/>
      <c r="M65" s="2"/>
      <c r="N65" s="5"/>
      <c r="O65" s="17"/>
    </row>
    <row r="66" spans="1:15" x14ac:dyDescent="0.2">
      <c r="A66" t="s">
        <v>38</v>
      </c>
      <c r="G66" s="2"/>
      <c r="J66" s="2"/>
      <c r="M66" s="2"/>
      <c r="N66" s="5"/>
      <c r="O66" s="17"/>
    </row>
    <row r="67" spans="1:15" x14ac:dyDescent="0.2">
      <c r="A67" t="s">
        <v>39</v>
      </c>
      <c r="G67" s="2"/>
      <c r="J67" s="2"/>
      <c r="M67" s="2"/>
      <c r="N67" s="5"/>
      <c r="O67" s="19"/>
    </row>
    <row r="68" spans="1:15" x14ac:dyDescent="0.2">
      <c r="A68" t="s">
        <v>39</v>
      </c>
      <c r="G68" s="2"/>
      <c r="J68" s="2"/>
      <c r="M68" s="2"/>
      <c r="N68" s="5"/>
      <c r="O68" s="17"/>
    </row>
    <row r="69" spans="1:15" x14ac:dyDescent="0.2">
      <c r="A69" t="s">
        <v>40</v>
      </c>
      <c r="G69" s="2"/>
      <c r="J69" s="2"/>
      <c r="M69" s="2"/>
      <c r="N69" s="5"/>
      <c r="O69" s="17"/>
    </row>
    <row r="70" spans="1:15" x14ac:dyDescent="0.2">
      <c r="A70" t="s">
        <v>40</v>
      </c>
      <c r="G70" s="2"/>
      <c r="J70" s="2"/>
      <c r="M70" s="2"/>
      <c r="N70" s="5"/>
      <c r="O70" s="19"/>
    </row>
    <row r="71" spans="1:15" x14ac:dyDescent="0.2">
      <c r="A71" t="s">
        <v>41</v>
      </c>
      <c r="G71" s="2"/>
      <c r="J71" s="2"/>
      <c r="M71" s="2"/>
      <c r="N71" s="5"/>
      <c r="O71" s="17"/>
    </row>
    <row r="72" spans="1:15" x14ac:dyDescent="0.2">
      <c r="A72" t="s">
        <v>41</v>
      </c>
      <c r="G72" s="2"/>
      <c r="J72" s="2"/>
      <c r="M72" s="2"/>
      <c r="N72" s="5"/>
      <c r="O72" s="17"/>
    </row>
    <row r="73" spans="1:15" x14ac:dyDescent="0.2">
      <c r="A73" t="s">
        <v>37</v>
      </c>
      <c r="G73" s="2"/>
      <c r="J73" s="2"/>
      <c r="M73" s="2"/>
      <c r="N73" s="5"/>
      <c r="O73" s="17"/>
    </row>
    <row r="74" spans="1:15" x14ac:dyDescent="0.2">
      <c r="A74" t="s">
        <v>37</v>
      </c>
      <c r="G74" s="2"/>
      <c r="J74" s="2"/>
      <c r="M74" s="2"/>
      <c r="N74" s="5"/>
      <c r="O74" s="17"/>
    </row>
    <row r="75" spans="1:15" x14ac:dyDescent="0.2">
      <c r="A75" t="s">
        <v>38</v>
      </c>
      <c r="G75" s="2"/>
      <c r="J75" s="2"/>
      <c r="M75" s="2"/>
      <c r="N75" s="5"/>
      <c r="O75" s="17"/>
    </row>
    <row r="76" spans="1:15" x14ac:dyDescent="0.2">
      <c r="A76" t="s">
        <v>38</v>
      </c>
      <c r="G76" s="2"/>
      <c r="J76" s="2"/>
      <c r="M76" s="2"/>
      <c r="N76" s="5"/>
      <c r="O76" s="17"/>
    </row>
    <row r="77" spans="1:15" x14ac:dyDescent="0.2">
      <c r="A77" t="s">
        <v>39</v>
      </c>
      <c r="G77" s="2"/>
      <c r="J77" s="2"/>
      <c r="M77" s="2"/>
      <c r="N77" s="5"/>
      <c r="O77" s="17"/>
    </row>
    <row r="78" spans="1:15" x14ac:dyDescent="0.2">
      <c r="A78" t="s">
        <v>39</v>
      </c>
      <c r="G78" s="2"/>
      <c r="J78" s="2"/>
      <c r="M78" s="2"/>
      <c r="N78" s="5"/>
      <c r="O78" s="17"/>
    </row>
    <row r="79" spans="1:15" x14ac:dyDescent="0.2">
      <c r="A79" t="s">
        <v>40</v>
      </c>
      <c r="G79" s="2"/>
      <c r="J79" s="2"/>
      <c r="M79" s="2"/>
      <c r="N79" s="5"/>
      <c r="O79" s="17"/>
    </row>
    <row r="80" spans="1:15" x14ac:dyDescent="0.2">
      <c r="A80" t="s">
        <v>40</v>
      </c>
      <c r="G80" s="2"/>
      <c r="J80" s="2"/>
      <c r="M80" s="2"/>
      <c r="N80" s="5"/>
      <c r="O80" s="17"/>
    </row>
    <row r="81" spans="1:15" x14ac:dyDescent="0.2">
      <c r="A81" t="s">
        <v>41</v>
      </c>
      <c r="G81" s="2"/>
      <c r="J81" s="2"/>
      <c r="M81" s="2"/>
      <c r="N81" s="5"/>
      <c r="O81" s="17"/>
    </row>
    <row r="82" spans="1:15" x14ac:dyDescent="0.2">
      <c r="A82" t="s">
        <v>41</v>
      </c>
      <c r="G82" s="2"/>
      <c r="J82" s="2"/>
      <c r="M82" s="2"/>
      <c r="N82" s="5"/>
      <c r="O82" s="17"/>
    </row>
    <row r="83" spans="1:15" x14ac:dyDescent="0.2">
      <c r="G83" s="2"/>
      <c r="J83" s="2"/>
      <c r="M83" s="2"/>
      <c r="N83" s="32"/>
      <c r="O83" s="17"/>
    </row>
    <row r="84" spans="1:15" x14ac:dyDescent="0.2">
      <c r="G84" s="2"/>
      <c r="J84" s="2"/>
      <c r="M84" s="2"/>
      <c r="N84" s="32"/>
      <c r="O84" s="17"/>
    </row>
    <row r="85" spans="1:15" x14ac:dyDescent="0.2">
      <c r="G85" s="2"/>
      <c r="J85" s="2"/>
      <c r="M85" s="2"/>
      <c r="N85" s="32"/>
      <c r="O85" s="17"/>
    </row>
    <row r="86" spans="1:15" x14ac:dyDescent="0.2">
      <c r="G86" s="2"/>
      <c r="J86" s="2"/>
      <c r="M86" s="2"/>
      <c r="N86" s="32"/>
      <c r="O86" s="17"/>
    </row>
    <row r="87" spans="1:15" x14ac:dyDescent="0.2">
      <c r="G87" s="2"/>
      <c r="J87" s="2"/>
      <c r="M87" s="2"/>
      <c r="N87" s="32"/>
      <c r="O87" s="19"/>
    </row>
    <row r="88" spans="1:15" x14ac:dyDescent="0.2">
      <c r="G88" s="2"/>
      <c r="J88" s="2"/>
      <c r="M88" s="2"/>
      <c r="N88" s="33"/>
      <c r="O88" s="17"/>
    </row>
    <row r="89" spans="1:15" x14ac:dyDescent="0.2">
      <c r="G89" s="2"/>
      <c r="J89" s="2"/>
      <c r="M89" s="2"/>
      <c r="N89" s="33"/>
      <c r="O89" s="17"/>
    </row>
    <row r="90" spans="1:15" x14ac:dyDescent="0.2">
      <c r="G90" s="2"/>
      <c r="J90" s="2"/>
      <c r="M90" s="2"/>
      <c r="N90" s="33"/>
      <c r="O90" s="19"/>
    </row>
    <row r="91" spans="1:15" x14ac:dyDescent="0.2">
      <c r="G91" s="2"/>
      <c r="J91" s="2"/>
      <c r="M91" s="2"/>
      <c r="N91" s="33"/>
      <c r="O91" s="17"/>
    </row>
    <row r="92" spans="1:15" x14ac:dyDescent="0.2">
      <c r="G92" s="2"/>
      <c r="J92" s="2"/>
      <c r="M92" s="2"/>
      <c r="N92" s="33"/>
      <c r="O92" s="17"/>
    </row>
    <row r="106" spans="2:17" x14ac:dyDescent="0.2">
      <c r="B106" t="s">
        <v>45</v>
      </c>
      <c r="C106" s="39">
        <v>1</v>
      </c>
      <c r="D106" s="39">
        <v>5</v>
      </c>
      <c r="E106" s="39">
        <v>11</v>
      </c>
      <c r="F106" s="39">
        <v>8105304659</v>
      </c>
      <c r="G106" s="39">
        <v>5</v>
      </c>
      <c r="H106" s="39">
        <v>10</v>
      </c>
      <c r="I106" s="39">
        <v>7368458781</v>
      </c>
      <c r="J106" s="39">
        <v>5</v>
      </c>
      <c r="K106" s="39">
        <v>9</v>
      </c>
      <c r="L106" s="39">
        <v>6631612903</v>
      </c>
      <c r="M106" s="12">
        <v>7370000000</v>
      </c>
      <c r="N106" s="40">
        <v>27.9</v>
      </c>
      <c r="O106" s="39">
        <v>1000</v>
      </c>
      <c r="P106" s="39">
        <v>36.842293900000001</v>
      </c>
      <c r="Q106" s="39">
        <v>5.0000000000000001E-3</v>
      </c>
    </row>
    <row r="107" spans="2:17" x14ac:dyDescent="0.2">
      <c r="C107" s="39">
        <v>2</v>
      </c>
      <c r="D107" s="39">
        <v>5</v>
      </c>
      <c r="E107" s="39">
        <v>4</v>
      </c>
      <c r="F107" s="39">
        <v>5794285714</v>
      </c>
      <c r="G107" s="39">
        <v>4</v>
      </c>
      <c r="H107" s="39">
        <v>19</v>
      </c>
      <c r="I107" s="39">
        <v>2752285714</v>
      </c>
      <c r="J107" s="39">
        <v>4</v>
      </c>
      <c r="K107" s="39">
        <v>17</v>
      </c>
      <c r="L107" s="39">
        <v>2462571429</v>
      </c>
      <c r="M107" s="12">
        <v>3670000000</v>
      </c>
      <c r="N107" s="41">
        <v>14</v>
      </c>
      <c r="O107" s="39">
        <v>1000</v>
      </c>
      <c r="P107" s="39">
        <v>72.428571399999996</v>
      </c>
      <c r="Q107" s="39">
        <v>5.0000000000000001E-3</v>
      </c>
    </row>
    <row r="108" spans="2:17" x14ac:dyDescent="0.2">
      <c r="C108" s="39">
        <v>3</v>
      </c>
      <c r="D108" s="39">
        <v>5</v>
      </c>
      <c r="E108" s="39">
        <v>10</v>
      </c>
      <c r="F108" s="39">
        <v>8200000000</v>
      </c>
      <c r="G108" s="39">
        <v>5</v>
      </c>
      <c r="H108" s="39">
        <v>11</v>
      </c>
      <c r="I108" s="39">
        <v>9020000000</v>
      </c>
      <c r="J108" s="39">
        <v>5</v>
      </c>
      <c r="K108" s="39">
        <v>6</v>
      </c>
      <c r="L108" s="39">
        <v>4920000000</v>
      </c>
      <c r="M108" s="12">
        <v>7380000000</v>
      </c>
      <c r="N108" s="41">
        <v>25</v>
      </c>
      <c r="O108" s="39">
        <v>1000</v>
      </c>
      <c r="P108" s="39">
        <v>41</v>
      </c>
      <c r="Q108" s="39">
        <v>5.0000000000000001E-3</v>
      </c>
    </row>
    <row r="109" spans="2:17" x14ac:dyDescent="0.2">
      <c r="C109" s="39">
        <v>4</v>
      </c>
      <c r="D109" s="39">
        <v>5</v>
      </c>
      <c r="E109" s="39">
        <v>3</v>
      </c>
      <c r="F109" s="39">
        <v>4675384615</v>
      </c>
      <c r="G109" s="39">
        <v>5</v>
      </c>
      <c r="H109" s="39">
        <v>3</v>
      </c>
      <c r="I109" s="39">
        <v>4675384615</v>
      </c>
      <c r="J109" s="39">
        <v>4</v>
      </c>
      <c r="K109" s="39">
        <v>17</v>
      </c>
      <c r="L109" s="39">
        <v>2649384615</v>
      </c>
      <c r="M109" s="12">
        <v>4000000000</v>
      </c>
      <c r="N109" s="41">
        <v>13</v>
      </c>
      <c r="O109" s="39">
        <v>1000</v>
      </c>
      <c r="P109" s="39">
        <v>77.923076899999998</v>
      </c>
      <c r="Q109" s="39">
        <v>5.0000000000000001E-3</v>
      </c>
    </row>
    <row r="110" spans="2:17" x14ac:dyDescent="0.2">
      <c r="C110" s="42">
        <v>5</v>
      </c>
      <c r="D110" s="42">
        <v>5</v>
      </c>
      <c r="E110" s="42">
        <v>4</v>
      </c>
      <c r="F110" s="42">
        <v>5413333333</v>
      </c>
      <c r="G110" s="42">
        <v>4</v>
      </c>
      <c r="H110" s="42">
        <v>22</v>
      </c>
      <c r="I110" s="42">
        <v>2977333333</v>
      </c>
      <c r="J110" s="42">
        <v>4</v>
      </c>
      <c r="K110" s="42">
        <v>16</v>
      </c>
      <c r="L110" s="42">
        <v>2165333333</v>
      </c>
      <c r="M110" s="14">
        <v>3520000000</v>
      </c>
      <c r="N110" s="43">
        <v>15</v>
      </c>
      <c r="O110" s="42">
        <v>1000</v>
      </c>
      <c r="P110" s="42">
        <v>67.666666699999993</v>
      </c>
      <c r="Q110" s="42">
        <v>5.0000000000000001E-3</v>
      </c>
    </row>
    <row r="111" spans="2:17" x14ac:dyDescent="0.2">
      <c r="B111" t="s">
        <v>44</v>
      </c>
      <c r="C111" s="39">
        <v>1</v>
      </c>
      <c r="D111" s="39"/>
      <c r="E111" s="39"/>
      <c r="F111" s="39">
        <v>7792307692</v>
      </c>
      <c r="G111" s="39">
        <v>5</v>
      </c>
      <c r="H111" s="39">
        <v>4</v>
      </c>
      <c r="I111" s="39">
        <v>6233846154</v>
      </c>
      <c r="J111" s="39">
        <v>5</v>
      </c>
      <c r="K111" s="39">
        <v>4</v>
      </c>
      <c r="L111" s="39">
        <v>6233846154</v>
      </c>
      <c r="M111" s="12">
        <v>6750000000</v>
      </c>
      <c r="N111" s="37">
        <v>13</v>
      </c>
      <c r="O111" s="39">
        <v>1000</v>
      </c>
      <c r="P111" s="39">
        <v>77.923076899999998</v>
      </c>
      <c r="Q111" s="39">
        <v>5.0000000000000001E-3</v>
      </c>
    </row>
    <row r="112" spans="2:17" x14ac:dyDescent="0.2">
      <c r="C112" s="39">
        <v>2</v>
      </c>
      <c r="D112" s="39"/>
      <c r="E112" s="39"/>
      <c r="F112" s="39">
        <v>7352727273</v>
      </c>
      <c r="G112" s="39">
        <v>4</v>
      </c>
      <c r="H112" s="39">
        <v>23</v>
      </c>
      <c r="I112" s="39">
        <v>4227818182</v>
      </c>
      <c r="J112" s="39">
        <v>4</v>
      </c>
      <c r="K112" s="39">
        <v>18</v>
      </c>
      <c r="L112" s="39">
        <v>3308727273</v>
      </c>
      <c r="M112" s="12">
        <v>4960000000</v>
      </c>
      <c r="N112" s="37">
        <v>11</v>
      </c>
      <c r="O112" s="39">
        <v>1000</v>
      </c>
      <c r="P112" s="39">
        <v>91.909090899999995</v>
      </c>
      <c r="Q112" s="39">
        <v>5.0000000000000001E-3</v>
      </c>
    </row>
    <row r="113" spans="3:17" x14ac:dyDescent="0.2">
      <c r="C113" s="39">
        <v>3</v>
      </c>
      <c r="D113" s="39"/>
      <c r="E113" s="39"/>
      <c r="F113" s="39">
        <v>5566000000</v>
      </c>
      <c r="G113" s="39">
        <v>4</v>
      </c>
      <c r="H113" s="39">
        <v>25</v>
      </c>
      <c r="I113" s="39">
        <v>4216666667</v>
      </c>
      <c r="J113" s="39">
        <v>5</v>
      </c>
      <c r="K113" s="39">
        <v>3</v>
      </c>
      <c r="L113" s="39">
        <v>5060000000</v>
      </c>
      <c r="M113" s="12">
        <v>4950000000</v>
      </c>
      <c r="N113" s="37">
        <v>12</v>
      </c>
      <c r="O113" s="39">
        <v>1000</v>
      </c>
      <c r="P113" s="39">
        <v>84.333333300000007</v>
      </c>
      <c r="Q113" s="39">
        <v>5.0000000000000001E-3</v>
      </c>
    </row>
    <row r="114" spans="3:17" x14ac:dyDescent="0.2">
      <c r="C114" s="39">
        <v>4</v>
      </c>
      <c r="D114" s="39"/>
      <c r="E114" s="39"/>
      <c r="F114" s="39">
        <v>16543636364</v>
      </c>
      <c r="G114" s="39">
        <v>4</v>
      </c>
      <c r="H114" s="39">
        <v>17</v>
      </c>
      <c r="I114" s="39">
        <v>3124909091</v>
      </c>
      <c r="J114" s="39">
        <v>4</v>
      </c>
      <c r="K114" s="39">
        <v>29</v>
      </c>
      <c r="L114" s="39">
        <v>5330727273</v>
      </c>
      <c r="M114" s="12">
        <v>8330000000</v>
      </c>
      <c r="N114" s="37">
        <v>11</v>
      </c>
      <c r="O114" s="39">
        <v>1000</v>
      </c>
      <c r="P114" s="39">
        <v>91.909090899999995</v>
      </c>
      <c r="Q114" s="39">
        <v>5.0000000000000001E-3</v>
      </c>
    </row>
    <row r="115" spans="3:17" x14ac:dyDescent="0.2">
      <c r="C115" s="42">
        <v>5</v>
      </c>
      <c r="D115" s="42"/>
      <c r="E115" s="42"/>
      <c r="F115" s="42">
        <v>2024000000</v>
      </c>
      <c r="G115" s="42">
        <v>4</v>
      </c>
      <c r="H115" s="42">
        <v>15</v>
      </c>
      <c r="I115" s="42">
        <v>2530000000</v>
      </c>
      <c r="J115" s="42">
        <v>4</v>
      </c>
      <c r="K115" s="42">
        <v>18</v>
      </c>
      <c r="L115" s="42">
        <v>3036000000</v>
      </c>
      <c r="M115" s="14">
        <v>2530000000</v>
      </c>
      <c r="N115" s="38">
        <v>12</v>
      </c>
      <c r="O115" s="42">
        <v>1000</v>
      </c>
      <c r="P115" s="42">
        <v>84.333333300000007</v>
      </c>
      <c r="Q115" s="42">
        <v>5.0000000000000001E-3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BD13-CFEC-0147-97C6-39A6F245F623}">
  <dimension ref="A1:AA92"/>
  <sheetViews>
    <sheetView zoomScale="94" workbookViewId="0">
      <selection activeCell="O94" sqref="O94"/>
    </sheetView>
  </sheetViews>
  <sheetFormatPr baseColWidth="10" defaultRowHeight="16" x14ac:dyDescent="0.2"/>
  <cols>
    <col min="2" max="6" width="11.1640625" bestFit="1" customWidth="1"/>
    <col min="7" max="7" width="12.1640625" bestFit="1" customWidth="1"/>
    <col min="8" max="9" width="11.1640625" bestFit="1" customWidth="1"/>
    <col min="10" max="10" width="12.1640625" bestFit="1" customWidth="1"/>
    <col min="11" max="12" width="11.1640625" bestFit="1" customWidth="1"/>
    <col min="13" max="13" width="13.33203125" bestFit="1" customWidth="1"/>
    <col min="14" max="14" width="11.5" bestFit="1" customWidth="1"/>
    <col min="15" max="18" width="11" bestFit="1" customWidth="1"/>
    <col min="21" max="21" width="11.1640625" bestFit="1" customWidth="1"/>
  </cols>
  <sheetData>
    <row r="1" spans="2:27" ht="15" x14ac:dyDescent="0.2">
      <c r="E1" t="s">
        <v>0</v>
      </c>
      <c r="H1" t="s">
        <v>1</v>
      </c>
      <c r="K1" t="s">
        <v>2</v>
      </c>
    </row>
    <row r="2" spans="2:27" x14ac:dyDescent="0.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s="8" t="s">
        <v>9</v>
      </c>
      <c r="O2" t="s">
        <v>10</v>
      </c>
      <c r="P2" t="s">
        <v>11</v>
      </c>
      <c r="Q2" t="s">
        <v>12</v>
      </c>
      <c r="R2" t="s">
        <v>13</v>
      </c>
      <c r="AA2" t="s">
        <v>14</v>
      </c>
    </row>
    <row r="3" spans="2:27" x14ac:dyDescent="0.2">
      <c r="B3">
        <v>1</v>
      </c>
      <c r="C3">
        <v>1</v>
      </c>
      <c r="D3">
        <v>1</v>
      </c>
      <c r="E3">
        <v>5</v>
      </c>
      <c r="F3">
        <v>24</v>
      </c>
      <c r="G3">
        <f t="shared" ref="G3:G16" si="0">F3*10^E3/R3*Q3</f>
        <v>32480000000.000004</v>
      </c>
      <c r="H3">
        <v>5</v>
      </c>
      <c r="I3">
        <v>15</v>
      </c>
      <c r="J3">
        <f t="shared" ref="J3:J16" si="1">I3*10^H3/R3*Q3</f>
        <v>20300000000</v>
      </c>
      <c r="K3">
        <v>5</v>
      </c>
      <c r="L3">
        <v>15</v>
      </c>
      <c r="M3">
        <f t="shared" ref="M3:M16" si="2">L3*10^K3/R3*Q3</f>
        <v>20300000000</v>
      </c>
      <c r="N3" s="5">
        <f t="shared" ref="N3:N16" si="3">AVERAGE(G3,J3,M3)</f>
        <v>24360000000</v>
      </c>
      <c r="O3">
        <v>9</v>
      </c>
      <c r="P3">
        <v>600</v>
      </c>
      <c r="Q3">
        <f t="shared" ref="Q3:Q66" si="4">(P3+O3)/O3</f>
        <v>67.666666666666671</v>
      </c>
      <c r="R3">
        <f t="shared" ref="R3:R12" si="5">5/1000</f>
        <v>5.0000000000000001E-3</v>
      </c>
      <c r="S3">
        <f>3*10^0/R3*AVERAGE(Q3:Q12)</f>
        <v>20288.497448497452</v>
      </c>
      <c r="AA3" t="s">
        <v>15</v>
      </c>
    </row>
    <row r="4" spans="2:27" x14ac:dyDescent="0.2">
      <c r="B4">
        <v>1</v>
      </c>
      <c r="C4">
        <f>C3</f>
        <v>1</v>
      </c>
      <c r="D4">
        <f>D3+1</f>
        <v>2</v>
      </c>
      <c r="E4">
        <v>6</v>
      </c>
      <c r="F4">
        <v>5</v>
      </c>
      <c r="G4">
        <f t="shared" si="0"/>
        <v>61000000000</v>
      </c>
      <c r="H4">
        <v>6</v>
      </c>
      <c r="I4">
        <v>4</v>
      </c>
      <c r="J4">
        <f t="shared" si="1"/>
        <v>48800000000</v>
      </c>
      <c r="K4">
        <v>6</v>
      </c>
      <c r="L4">
        <v>3</v>
      </c>
      <c r="M4">
        <f t="shared" si="2"/>
        <v>36600000000</v>
      </c>
      <c r="N4" s="5">
        <f t="shared" si="3"/>
        <v>48800000000</v>
      </c>
      <c r="O4">
        <v>10</v>
      </c>
      <c r="P4">
        <v>600</v>
      </c>
      <c r="Q4">
        <f t="shared" si="4"/>
        <v>61</v>
      </c>
      <c r="R4">
        <f t="shared" si="5"/>
        <v>5.0000000000000001E-3</v>
      </c>
      <c r="AA4" t="s">
        <v>16</v>
      </c>
    </row>
    <row r="5" spans="2:27" x14ac:dyDescent="0.2">
      <c r="B5">
        <v>1</v>
      </c>
      <c r="C5">
        <f>C4</f>
        <v>1</v>
      </c>
      <c r="D5">
        <f>D4+1</f>
        <v>3</v>
      </c>
      <c r="E5">
        <v>6</v>
      </c>
      <c r="F5">
        <v>8</v>
      </c>
      <c r="G5">
        <f t="shared" si="0"/>
        <v>28266666666.666668</v>
      </c>
      <c r="H5">
        <v>6</v>
      </c>
      <c r="I5">
        <v>11</v>
      </c>
      <c r="J5">
        <f t="shared" si="1"/>
        <v>38866666666.666672</v>
      </c>
      <c r="K5">
        <v>6</v>
      </c>
      <c r="L5">
        <v>12</v>
      </c>
      <c r="M5">
        <f t="shared" si="2"/>
        <v>42400000000</v>
      </c>
      <c r="N5" s="5">
        <f t="shared" si="3"/>
        <v>36511111111.111115</v>
      </c>
      <c r="O5">
        <v>36</v>
      </c>
      <c r="P5">
        <v>600</v>
      </c>
      <c r="Q5">
        <f t="shared" si="4"/>
        <v>17.666666666666668</v>
      </c>
      <c r="R5">
        <f t="shared" si="5"/>
        <v>5.0000000000000001E-3</v>
      </c>
      <c r="AA5" t="s">
        <v>17</v>
      </c>
    </row>
    <row r="6" spans="2:27" x14ac:dyDescent="0.2">
      <c r="B6">
        <v>1</v>
      </c>
      <c r="C6">
        <f>C5</f>
        <v>1</v>
      </c>
      <c r="D6">
        <f>D5+1</f>
        <v>4</v>
      </c>
      <c r="E6">
        <v>6</v>
      </c>
      <c r="F6">
        <v>7</v>
      </c>
      <c r="G6">
        <f t="shared" si="0"/>
        <v>33707692307.692307</v>
      </c>
      <c r="H6">
        <v>6</v>
      </c>
      <c r="I6">
        <v>9</v>
      </c>
      <c r="J6">
        <f t="shared" si="1"/>
        <v>43338461538.46154</v>
      </c>
      <c r="K6">
        <v>6</v>
      </c>
      <c r="L6">
        <v>6</v>
      </c>
      <c r="M6">
        <f t="shared" si="2"/>
        <v>28892307692.307693</v>
      </c>
      <c r="N6" s="5">
        <f t="shared" si="3"/>
        <v>35312820512.820511</v>
      </c>
      <c r="O6">
        <v>26</v>
      </c>
      <c r="P6">
        <v>600</v>
      </c>
      <c r="Q6">
        <f t="shared" si="4"/>
        <v>24.076923076923077</v>
      </c>
      <c r="R6">
        <f t="shared" si="5"/>
        <v>5.0000000000000001E-3</v>
      </c>
      <c r="AA6" t="s">
        <v>18</v>
      </c>
    </row>
    <row r="7" spans="2:27" x14ac:dyDescent="0.2">
      <c r="B7">
        <v>1</v>
      </c>
      <c r="C7">
        <f>C6</f>
        <v>1</v>
      </c>
      <c r="D7">
        <f>D6+1</f>
        <v>5</v>
      </c>
      <c r="E7">
        <v>6</v>
      </c>
      <c r="F7">
        <v>9</v>
      </c>
      <c r="G7">
        <f t="shared" si="0"/>
        <v>30989189189.18919</v>
      </c>
      <c r="H7">
        <v>6</v>
      </c>
      <c r="I7">
        <v>7</v>
      </c>
      <c r="J7">
        <f t="shared" si="1"/>
        <v>24102702702.702705</v>
      </c>
      <c r="K7">
        <v>6</v>
      </c>
      <c r="L7">
        <v>7</v>
      </c>
      <c r="M7">
        <f t="shared" si="2"/>
        <v>24102702702.702705</v>
      </c>
      <c r="N7" s="5">
        <f t="shared" si="3"/>
        <v>26398198198.1982</v>
      </c>
      <c r="O7">
        <v>37</v>
      </c>
      <c r="P7">
        <v>600</v>
      </c>
      <c r="Q7">
        <f t="shared" si="4"/>
        <v>17.216216216216218</v>
      </c>
      <c r="R7">
        <f t="shared" si="5"/>
        <v>5.0000000000000001E-3</v>
      </c>
    </row>
    <row r="8" spans="2:27" x14ac:dyDescent="0.2">
      <c r="B8">
        <v>1</v>
      </c>
      <c r="C8">
        <f>C3+1</f>
        <v>2</v>
      </c>
      <c r="D8">
        <v>1</v>
      </c>
      <c r="E8">
        <v>4</v>
      </c>
      <c r="F8">
        <v>11</v>
      </c>
      <c r="G8">
        <f t="shared" si="0"/>
        <v>422000000.00000006</v>
      </c>
      <c r="H8">
        <v>4</v>
      </c>
      <c r="I8">
        <v>16</v>
      </c>
      <c r="J8">
        <f t="shared" si="1"/>
        <v>613818181.81818187</v>
      </c>
      <c r="K8">
        <v>4</v>
      </c>
      <c r="L8">
        <v>9</v>
      </c>
      <c r="M8">
        <f t="shared" si="2"/>
        <v>345272727.27272731</v>
      </c>
      <c r="N8" s="5">
        <f t="shared" si="3"/>
        <v>460363636.36363643</v>
      </c>
      <c r="O8">
        <v>33</v>
      </c>
      <c r="P8">
        <v>600</v>
      </c>
      <c r="Q8">
        <f t="shared" si="4"/>
        <v>19.181818181818183</v>
      </c>
      <c r="R8">
        <f t="shared" si="5"/>
        <v>5.0000000000000001E-3</v>
      </c>
      <c r="AA8" t="s">
        <v>19</v>
      </c>
    </row>
    <row r="9" spans="2:27" x14ac:dyDescent="0.2">
      <c r="B9">
        <v>1</v>
      </c>
      <c r="C9">
        <f>C4+1</f>
        <v>2</v>
      </c>
      <c r="D9">
        <f>D8+1</f>
        <v>2</v>
      </c>
      <c r="E9">
        <v>5</v>
      </c>
      <c r="F9">
        <v>6</v>
      </c>
      <c r="G9">
        <f t="shared" si="0"/>
        <v>3720000000</v>
      </c>
      <c r="H9">
        <v>5</v>
      </c>
      <c r="I9">
        <v>6</v>
      </c>
      <c r="J9">
        <f t="shared" si="1"/>
        <v>3720000000</v>
      </c>
      <c r="K9">
        <v>5</v>
      </c>
      <c r="L9">
        <v>5</v>
      </c>
      <c r="M9">
        <f t="shared" si="2"/>
        <v>3100000000</v>
      </c>
      <c r="N9" s="5">
        <f t="shared" si="3"/>
        <v>3513333333.3333335</v>
      </c>
      <c r="O9">
        <v>20</v>
      </c>
      <c r="P9">
        <v>600</v>
      </c>
      <c r="Q9">
        <f t="shared" si="4"/>
        <v>31</v>
      </c>
      <c r="R9">
        <f t="shared" si="5"/>
        <v>5.0000000000000001E-3</v>
      </c>
      <c r="AA9" t="s">
        <v>20</v>
      </c>
    </row>
    <row r="10" spans="2:27" x14ac:dyDescent="0.2">
      <c r="B10">
        <v>1</v>
      </c>
      <c r="C10">
        <f>C5+1</f>
        <v>2</v>
      </c>
      <c r="D10">
        <f>D9+1</f>
        <v>3</v>
      </c>
      <c r="E10">
        <v>4</v>
      </c>
      <c r="F10">
        <v>19</v>
      </c>
      <c r="G10">
        <f t="shared" si="0"/>
        <v>1558000000</v>
      </c>
      <c r="H10">
        <v>4</v>
      </c>
      <c r="I10">
        <v>13</v>
      </c>
      <c r="J10">
        <f t="shared" si="1"/>
        <v>1066000000</v>
      </c>
      <c r="K10">
        <v>4</v>
      </c>
      <c r="L10">
        <v>10</v>
      </c>
      <c r="M10">
        <f t="shared" si="2"/>
        <v>820000000</v>
      </c>
      <c r="N10" s="5">
        <f t="shared" si="3"/>
        <v>1148000000</v>
      </c>
      <c r="O10">
        <v>15</v>
      </c>
      <c r="P10">
        <v>600</v>
      </c>
      <c r="Q10">
        <f t="shared" si="4"/>
        <v>41</v>
      </c>
      <c r="R10">
        <f t="shared" si="5"/>
        <v>5.0000000000000001E-3</v>
      </c>
    </row>
    <row r="11" spans="2:27" x14ac:dyDescent="0.2">
      <c r="B11">
        <v>1</v>
      </c>
      <c r="C11">
        <f>C6+1</f>
        <v>2</v>
      </c>
      <c r="D11">
        <f>D10+1</f>
        <v>4</v>
      </c>
      <c r="E11">
        <v>6</v>
      </c>
      <c r="F11">
        <v>2</v>
      </c>
      <c r="G11">
        <f t="shared" si="0"/>
        <v>13733333333.333334</v>
      </c>
      <c r="H11">
        <v>6</v>
      </c>
      <c r="I11">
        <v>2</v>
      </c>
      <c r="J11">
        <f t="shared" si="1"/>
        <v>13733333333.333334</v>
      </c>
      <c r="K11">
        <v>6</v>
      </c>
      <c r="L11">
        <v>4</v>
      </c>
      <c r="M11">
        <f t="shared" si="2"/>
        <v>27466666666.666668</v>
      </c>
      <c r="N11" s="5">
        <f t="shared" si="3"/>
        <v>18311111111.111111</v>
      </c>
      <c r="O11">
        <v>18</v>
      </c>
      <c r="P11">
        <v>600</v>
      </c>
      <c r="Q11">
        <f t="shared" si="4"/>
        <v>34.333333333333336</v>
      </c>
      <c r="R11">
        <f t="shared" si="5"/>
        <v>5.0000000000000001E-3</v>
      </c>
      <c r="AA11" t="s">
        <v>21</v>
      </c>
    </row>
    <row r="12" spans="2:27" x14ac:dyDescent="0.2">
      <c r="B12">
        <v>1</v>
      </c>
      <c r="C12">
        <f>C7+1</f>
        <v>2</v>
      </c>
      <c r="D12">
        <f>D11+1</f>
        <v>5</v>
      </c>
      <c r="E12">
        <v>4</v>
      </c>
      <c r="F12">
        <v>9</v>
      </c>
      <c r="G12">
        <f t="shared" si="0"/>
        <v>450000000</v>
      </c>
      <c r="H12">
        <v>4</v>
      </c>
      <c r="I12">
        <v>5</v>
      </c>
      <c r="J12">
        <f t="shared" si="1"/>
        <v>250000000</v>
      </c>
      <c r="K12">
        <v>4</v>
      </c>
      <c r="L12">
        <v>6</v>
      </c>
      <c r="M12">
        <f t="shared" si="2"/>
        <v>300000000</v>
      </c>
      <c r="N12" s="5">
        <f t="shared" si="3"/>
        <v>333333333.33333331</v>
      </c>
      <c r="O12">
        <v>25</v>
      </c>
      <c r="P12">
        <v>600</v>
      </c>
      <c r="Q12">
        <f t="shared" si="4"/>
        <v>25</v>
      </c>
      <c r="R12">
        <f t="shared" si="5"/>
        <v>5.0000000000000001E-3</v>
      </c>
      <c r="AA12" t="s">
        <v>22</v>
      </c>
    </row>
    <row r="13" spans="2:27" x14ac:dyDescent="0.2">
      <c r="B13" s="1">
        <v>2</v>
      </c>
      <c r="C13" s="1">
        <v>1</v>
      </c>
      <c r="D13" s="1">
        <v>1</v>
      </c>
      <c r="E13" s="1">
        <v>6</v>
      </c>
      <c r="F13" s="1">
        <v>9</v>
      </c>
      <c r="G13" s="1">
        <f t="shared" si="0"/>
        <v>121800000000.00002</v>
      </c>
      <c r="H13" s="1">
        <v>6</v>
      </c>
      <c r="I13" s="1">
        <v>9</v>
      </c>
      <c r="J13" s="1">
        <f t="shared" si="1"/>
        <v>121800000000.00002</v>
      </c>
      <c r="K13" s="1">
        <v>6</v>
      </c>
      <c r="L13" s="1">
        <v>4</v>
      </c>
      <c r="M13" s="1">
        <f t="shared" si="2"/>
        <v>54133333333.333336</v>
      </c>
      <c r="N13" s="7">
        <f t="shared" si="3"/>
        <v>99244444444.444458</v>
      </c>
      <c r="O13" s="1">
        <v>15</v>
      </c>
      <c r="P13" s="1">
        <v>1000</v>
      </c>
      <c r="Q13" s="1">
        <f t="shared" si="4"/>
        <v>67.666666666666671</v>
      </c>
      <c r="R13" s="1">
        <v>5.0000000000000001E-3</v>
      </c>
      <c r="AA13" t="s">
        <v>23</v>
      </c>
    </row>
    <row r="14" spans="2:27" x14ac:dyDescent="0.2">
      <c r="B14">
        <f t="shared" ref="B14:B22" si="6">B3+1</f>
        <v>2</v>
      </c>
      <c r="C14">
        <f>C13</f>
        <v>1</v>
      </c>
      <c r="D14">
        <f>D13+1</f>
        <v>2</v>
      </c>
      <c r="E14">
        <v>6</v>
      </c>
      <c r="F14">
        <v>6</v>
      </c>
      <c r="G14">
        <f t="shared" si="0"/>
        <v>86914285714.285721</v>
      </c>
      <c r="H14">
        <v>6</v>
      </c>
      <c r="I14">
        <v>4</v>
      </c>
      <c r="J14">
        <f t="shared" si="1"/>
        <v>57942857142.857147</v>
      </c>
      <c r="K14">
        <v>6</v>
      </c>
      <c r="L14">
        <v>6</v>
      </c>
      <c r="M14">
        <f t="shared" si="2"/>
        <v>86914285714.285721</v>
      </c>
      <c r="N14" s="5">
        <f t="shared" si="3"/>
        <v>77257142857.142868</v>
      </c>
      <c r="O14">
        <v>14</v>
      </c>
      <c r="P14">
        <v>1000</v>
      </c>
      <c r="Q14">
        <f t="shared" si="4"/>
        <v>72.428571428571431</v>
      </c>
      <c r="R14">
        <v>5.0000000000000001E-3</v>
      </c>
    </row>
    <row r="15" spans="2:27" x14ac:dyDescent="0.2">
      <c r="B15">
        <f t="shared" si="6"/>
        <v>2</v>
      </c>
      <c r="C15">
        <f>C14</f>
        <v>1</v>
      </c>
      <c r="D15">
        <f>D14+1</f>
        <v>3</v>
      </c>
      <c r="E15">
        <v>5</v>
      </c>
      <c r="F15">
        <v>30</v>
      </c>
      <c r="G15">
        <f t="shared" si="0"/>
        <v>35894117647.058823</v>
      </c>
      <c r="H15">
        <v>6</v>
      </c>
      <c r="I15">
        <v>4</v>
      </c>
      <c r="J15">
        <f t="shared" si="1"/>
        <v>47858823529.411766</v>
      </c>
      <c r="K15">
        <v>6</v>
      </c>
      <c r="L15">
        <v>3</v>
      </c>
      <c r="M15">
        <f t="shared" si="2"/>
        <v>35894117647.058823</v>
      </c>
      <c r="N15" s="5">
        <f t="shared" si="3"/>
        <v>39882352941.176468</v>
      </c>
      <c r="O15">
        <v>17</v>
      </c>
      <c r="P15">
        <v>1000</v>
      </c>
      <c r="Q15">
        <f t="shared" si="4"/>
        <v>59.823529411764703</v>
      </c>
      <c r="R15">
        <v>5.0000000000000001E-3</v>
      </c>
    </row>
    <row r="16" spans="2:27" x14ac:dyDescent="0.2">
      <c r="B16">
        <f t="shared" si="6"/>
        <v>2</v>
      </c>
      <c r="C16">
        <f>C15</f>
        <v>1</v>
      </c>
      <c r="D16">
        <f>D15+1</f>
        <v>4</v>
      </c>
      <c r="E16">
        <v>5</v>
      </c>
      <c r="F16">
        <v>16</v>
      </c>
      <c r="G16">
        <f t="shared" si="0"/>
        <v>26986666666.666664</v>
      </c>
      <c r="H16">
        <v>5</v>
      </c>
      <c r="I16">
        <v>23</v>
      </c>
      <c r="J16">
        <f t="shared" si="1"/>
        <v>38793333333.333328</v>
      </c>
      <c r="K16">
        <v>5</v>
      </c>
      <c r="L16">
        <v>16</v>
      </c>
      <c r="M16">
        <f t="shared" si="2"/>
        <v>26986666666.666664</v>
      </c>
      <c r="N16" s="5">
        <f t="shared" si="3"/>
        <v>30922222222.222218</v>
      </c>
      <c r="O16">
        <v>12</v>
      </c>
      <c r="P16">
        <v>1000</v>
      </c>
      <c r="Q16">
        <f t="shared" si="4"/>
        <v>84.333333333333329</v>
      </c>
      <c r="R16">
        <v>5.0000000000000001E-3</v>
      </c>
      <c r="U16" s="2">
        <f>AVERAGE(N3:N7)</f>
        <v>34276425964.425972</v>
      </c>
      <c r="V16">
        <f>STDEV(N3:N7)</f>
        <v>9713445716.8409004</v>
      </c>
      <c r="W16">
        <f>V16/U16</f>
        <v>0.2833856052238955</v>
      </c>
    </row>
    <row r="17" spans="2:23" x14ac:dyDescent="0.2">
      <c r="B17">
        <f t="shared" si="6"/>
        <v>2</v>
      </c>
      <c r="C17">
        <f>C16</f>
        <v>1</v>
      </c>
      <c r="D17">
        <f>D16+1</f>
        <v>5</v>
      </c>
      <c r="N17" s="5" t="s">
        <v>36</v>
      </c>
      <c r="O17">
        <v>17</v>
      </c>
      <c r="P17">
        <v>1000</v>
      </c>
      <c r="Q17">
        <f t="shared" si="4"/>
        <v>59.823529411764703</v>
      </c>
      <c r="R17">
        <v>5.0000000000000001E-3</v>
      </c>
      <c r="U17" s="2">
        <f>AVERAGE(N8:N10,N12)</f>
        <v>1363757575.7575758</v>
      </c>
      <c r="V17">
        <f>STDEV(N8:N12)</f>
        <v>7686276007.9243078</v>
      </c>
      <c r="W17">
        <f>V17/U17</f>
        <v>5.6361014190183578</v>
      </c>
    </row>
    <row r="18" spans="2:23" x14ac:dyDescent="0.2">
      <c r="B18">
        <f t="shared" si="6"/>
        <v>2</v>
      </c>
      <c r="C18">
        <f>C13+1</f>
        <v>2</v>
      </c>
      <c r="D18">
        <v>1</v>
      </c>
      <c r="N18" s="5" t="s">
        <v>36</v>
      </c>
      <c r="O18">
        <v>13</v>
      </c>
      <c r="P18">
        <v>1000</v>
      </c>
      <c r="Q18">
        <f t="shared" si="4"/>
        <v>77.92307692307692</v>
      </c>
      <c r="R18">
        <v>5.0000000000000001E-3</v>
      </c>
      <c r="U18" s="3">
        <f>U16/U17</f>
        <v>25.133811590659878</v>
      </c>
    </row>
    <row r="19" spans="2:23" x14ac:dyDescent="0.2">
      <c r="B19">
        <f t="shared" si="6"/>
        <v>2</v>
      </c>
      <c r="C19">
        <f>C14+1</f>
        <v>2</v>
      </c>
      <c r="D19">
        <f>D18+1</f>
        <v>2</v>
      </c>
      <c r="N19" s="5" t="s">
        <v>36</v>
      </c>
      <c r="O19">
        <v>21</v>
      </c>
      <c r="P19">
        <v>1000</v>
      </c>
      <c r="Q19">
        <f t="shared" si="4"/>
        <v>48.61904761904762</v>
      </c>
      <c r="R19">
        <v>5.0000000000000001E-3</v>
      </c>
    </row>
    <row r="20" spans="2:23" x14ac:dyDescent="0.2">
      <c r="B20">
        <f t="shared" si="6"/>
        <v>2</v>
      </c>
      <c r="C20">
        <f>C15+1</f>
        <v>2</v>
      </c>
      <c r="D20">
        <f>D19+1</f>
        <v>3</v>
      </c>
      <c r="N20" s="5" t="s">
        <v>36</v>
      </c>
      <c r="O20">
        <v>16</v>
      </c>
      <c r="P20">
        <v>1000</v>
      </c>
      <c r="Q20">
        <f t="shared" si="4"/>
        <v>63.5</v>
      </c>
      <c r="R20">
        <v>5.0000000000000001E-3</v>
      </c>
    </row>
    <row r="21" spans="2:23" x14ac:dyDescent="0.2">
      <c r="B21">
        <f t="shared" si="6"/>
        <v>2</v>
      </c>
      <c r="C21">
        <f>C16+1</f>
        <v>2</v>
      </c>
      <c r="D21">
        <f>D20+1</f>
        <v>4</v>
      </c>
      <c r="E21">
        <v>5</v>
      </c>
      <c r="F21">
        <v>9</v>
      </c>
      <c r="G21" t="e">
        <f t="shared" ref="G21:G84" si="7">F21*10^E21/R21*Q21</f>
        <v>#VALUE!</v>
      </c>
      <c r="H21">
        <v>6</v>
      </c>
      <c r="I21">
        <v>4</v>
      </c>
      <c r="J21" t="e">
        <f t="shared" ref="J21:J84" si="8">I21*10^H21/R21*Q21</f>
        <v>#VALUE!</v>
      </c>
      <c r="K21">
        <v>6</v>
      </c>
      <c r="L21">
        <v>3</v>
      </c>
      <c r="M21" t="e">
        <f t="shared" ref="M21:M66" si="9">L21*10^K21/R21*Q21</f>
        <v>#VALUE!</v>
      </c>
      <c r="N21" s="5" t="s">
        <v>36</v>
      </c>
      <c r="O21" t="s">
        <v>33</v>
      </c>
      <c r="P21">
        <v>1000</v>
      </c>
      <c r="Q21" t="e">
        <f t="shared" si="4"/>
        <v>#VALUE!</v>
      </c>
      <c r="R21">
        <v>5.0000000000000001E-3</v>
      </c>
    </row>
    <row r="22" spans="2:23" x14ac:dyDescent="0.2">
      <c r="B22" s="4">
        <f t="shared" si="6"/>
        <v>2</v>
      </c>
      <c r="C22">
        <f>C17+1</f>
        <v>2</v>
      </c>
      <c r="D22">
        <f>D21+1</f>
        <v>5</v>
      </c>
      <c r="E22">
        <v>5</v>
      </c>
      <c r="F22">
        <v>14</v>
      </c>
      <c r="G22" t="e">
        <f t="shared" si="7"/>
        <v>#VALUE!</v>
      </c>
      <c r="H22">
        <v>5</v>
      </c>
      <c r="I22">
        <v>8</v>
      </c>
      <c r="J22" s="2" t="e">
        <f t="shared" si="8"/>
        <v>#VALUE!</v>
      </c>
      <c r="K22">
        <v>5</v>
      </c>
      <c r="L22">
        <v>10</v>
      </c>
      <c r="M22" s="2" t="e">
        <f t="shared" si="9"/>
        <v>#VALUE!</v>
      </c>
      <c r="N22" s="5" t="s">
        <v>36</v>
      </c>
      <c r="O22" s="4" t="s">
        <v>33</v>
      </c>
      <c r="P22" s="4">
        <v>1000</v>
      </c>
      <c r="Q22" s="4" t="e">
        <f t="shared" si="4"/>
        <v>#VALUE!</v>
      </c>
      <c r="R22" s="4">
        <v>5.0000000000000001E-3</v>
      </c>
    </row>
    <row r="23" spans="2:23" x14ac:dyDescent="0.2">
      <c r="B23" s="1">
        <v>3</v>
      </c>
      <c r="C23" s="1">
        <v>1</v>
      </c>
      <c r="D23" s="1">
        <v>1</v>
      </c>
      <c r="E23" s="1">
        <v>6</v>
      </c>
      <c r="F23" s="1">
        <v>7</v>
      </c>
      <c r="G23" s="6">
        <f t="shared" si="7"/>
        <v>118066666666.66666</v>
      </c>
      <c r="H23" s="1">
        <v>6</v>
      </c>
      <c r="I23" s="1">
        <v>7</v>
      </c>
      <c r="J23" s="6">
        <f t="shared" si="8"/>
        <v>118066666666.66666</v>
      </c>
      <c r="K23" s="1">
        <v>6</v>
      </c>
      <c r="L23" s="1">
        <v>5</v>
      </c>
      <c r="M23" s="6">
        <f t="shared" si="9"/>
        <v>84333333333.333328</v>
      </c>
      <c r="N23" s="5">
        <f t="shared" ref="N23:N66" si="10">AVERAGE(G23,J23,M23)</f>
        <v>106822222222.22221</v>
      </c>
      <c r="O23">
        <v>12</v>
      </c>
      <c r="P23" s="1">
        <v>1000</v>
      </c>
      <c r="Q23" s="1">
        <f t="shared" si="4"/>
        <v>84.333333333333329</v>
      </c>
      <c r="R23" s="1">
        <v>5.0000000000000001E-3</v>
      </c>
    </row>
    <row r="24" spans="2:23" x14ac:dyDescent="0.2">
      <c r="B24">
        <v>3</v>
      </c>
      <c r="C24">
        <f>C23</f>
        <v>1</v>
      </c>
      <c r="D24">
        <f>D23+1</f>
        <v>2</v>
      </c>
      <c r="E24">
        <v>6</v>
      </c>
      <c r="F24">
        <v>12</v>
      </c>
      <c r="G24" s="2">
        <f t="shared" si="7"/>
        <v>187015384615.38461</v>
      </c>
      <c r="H24">
        <v>6</v>
      </c>
      <c r="I24">
        <v>7</v>
      </c>
      <c r="J24" s="2">
        <f t="shared" si="8"/>
        <v>109092307692.30769</v>
      </c>
      <c r="K24">
        <v>6</v>
      </c>
      <c r="L24">
        <v>12</v>
      </c>
      <c r="M24" s="2">
        <f t="shared" si="9"/>
        <v>187015384615.38461</v>
      </c>
      <c r="N24" s="5">
        <f t="shared" si="10"/>
        <v>161041025641.02563</v>
      </c>
      <c r="O24">
        <v>13</v>
      </c>
      <c r="P24">
        <v>1000</v>
      </c>
      <c r="Q24">
        <f t="shared" si="4"/>
        <v>77.92307692307692</v>
      </c>
      <c r="R24">
        <v>5.0000000000000001E-3</v>
      </c>
    </row>
    <row r="25" spans="2:23" x14ac:dyDescent="0.2">
      <c r="B25">
        <v>3</v>
      </c>
      <c r="C25">
        <f>C24</f>
        <v>1</v>
      </c>
      <c r="D25">
        <f>D24+1</f>
        <v>3</v>
      </c>
      <c r="E25">
        <v>6</v>
      </c>
      <c r="F25">
        <v>9</v>
      </c>
      <c r="G25" s="2">
        <f t="shared" si="7"/>
        <v>140261538461.53845</v>
      </c>
      <c r="H25">
        <v>6</v>
      </c>
      <c r="I25">
        <v>13</v>
      </c>
      <c r="J25" s="2">
        <f t="shared" si="8"/>
        <v>202600000000</v>
      </c>
      <c r="K25">
        <v>6</v>
      </c>
      <c r="L25">
        <v>7</v>
      </c>
      <c r="M25" s="2">
        <f t="shared" si="9"/>
        <v>109092307692.30769</v>
      </c>
      <c r="N25" s="5">
        <f t="shared" si="10"/>
        <v>150651282051.28204</v>
      </c>
      <c r="O25">
        <v>13</v>
      </c>
      <c r="P25">
        <v>1000</v>
      </c>
      <c r="Q25">
        <f t="shared" si="4"/>
        <v>77.92307692307692</v>
      </c>
      <c r="R25">
        <v>5.0000000000000001E-3</v>
      </c>
    </row>
    <row r="26" spans="2:23" x14ac:dyDescent="0.2">
      <c r="B26">
        <v>3</v>
      </c>
      <c r="C26">
        <f>C25</f>
        <v>1</v>
      </c>
      <c r="D26">
        <f>D25+1</f>
        <v>4</v>
      </c>
      <c r="E26">
        <v>6</v>
      </c>
      <c r="F26">
        <v>13</v>
      </c>
      <c r="G26" s="2">
        <f t="shared" si="7"/>
        <v>147044444444.44446</v>
      </c>
      <c r="H26">
        <v>6</v>
      </c>
      <c r="I26">
        <v>18</v>
      </c>
      <c r="J26" s="2">
        <f t="shared" si="8"/>
        <v>203600000000</v>
      </c>
      <c r="K26">
        <v>6</v>
      </c>
      <c r="L26">
        <v>17</v>
      </c>
      <c r="M26" s="2">
        <f t="shared" si="9"/>
        <v>192288888888.88889</v>
      </c>
      <c r="N26" s="5">
        <f t="shared" si="10"/>
        <v>180977777777.7778</v>
      </c>
      <c r="O26">
        <v>18</v>
      </c>
      <c r="P26">
        <v>1000</v>
      </c>
      <c r="Q26">
        <f t="shared" si="4"/>
        <v>56.555555555555557</v>
      </c>
      <c r="R26">
        <v>5.0000000000000001E-3</v>
      </c>
    </row>
    <row r="27" spans="2:23" x14ac:dyDescent="0.2">
      <c r="B27">
        <v>3</v>
      </c>
      <c r="C27">
        <f>C26</f>
        <v>1</v>
      </c>
      <c r="D27">
        <f>D26+1</f>
        <v>5</v>
      </c>
      <c r="E27">
        <v>6</v>
      </c>
      <c r="F27">
        <v>6</v>
      </c>
      <c r="G27" s="2">
        <f t="shared" si="7"/>
        <v>101200000000</v>
      </c>
      <c r="H27">
        <v>6</v>
      </c>
      <c r="I27">
        <v>5</v>
      </c>
      <c r="J27" s="2">
        <f t="shared" si="8"/>
        <v>84333333333.333328</v>
      </c>
      <c r="K27">
        <v>6</v>
      </c>
      <c r="L27">
        <v>4</v>
      </c>
      <c r="M27" s="2">
        <f t="shared" si="9"/>
        <v>67466666666.666664</v>
      </c>
      <c r="N27" s="5">
        <f t="shared" si="10"/>
        <v>84333333333.333328</v>
      </c>
      <c r="O27">
        <v>12</v>
      </c>
      <c r="P27">
        <v>1000</v>
      </c>
      <c r="Q27">
        <f t="shared" si="4"/>
        <v>84.333333333333329</v>
      </c>
      <c r="R27">
        <v>5.0000000000000001E-3</v>
      </c>
    </row>
    <row r="28" spans="2:23" x14ac:dyDescent="0.2">
      <c r="B28">
        <v>3</v>
      </c>
      <c r="C28">
        <f>C23+1</f>
        <v>2</v>
      </c>
      <c r="D28">
        <v>1</v>
      </c>
      <c r="E28">
        <v>4</v>
      </c>
      <c r="F28">
        <v>12</v>
      </c>
      <c r="G28" s="2">
        <f t="shared" si="7"/>
        <v>3452571428.5714288</v>
      </c>
      <c r="H28">
        <v>4</v>
      </c>
      <c r="I28">
        <v>7</v>
      </c>
      <c r="J28" s="2">
        <f t="shared" si="8"/>
        <v>2014000000</v>
      </c>
      <c r="K28">
        <v>4</v>
      </c>
      <c r="L28">
        <v>12</v>
      </c>
      <c r="M28" s="2">
        <f t="shared" si="9"/>
        <v>3452571428.5714288</v>
      </c>
      <c r="N28" s="5">
        <f t="shared" si="10"/>
        <v>2973047619.0476189</v>
      </c>
      <c r="O28">
        <v>7</v>
      </c>
      <c r="P28">
        <v>1000</v>
      </c>
      <c r="Q28">
        <f t="shared" si="4"/>
        <v>143.85714285714286</v>
      </c>
      <c r="R28">
        <v>5.0000000000000001E-3</v>
      </c>
    </row>
    <row r="29" spans="2:23" x14ac:dyDescent="0.2">
      <c r="B29">
        <v>3</v>
      </c>
      <c r="C29">
        <f>C24+1</f>
        <v>2</v>
      </c>
      <c r="D29">
        <f>D28+1</f>
        <v>2</v>
      </c>
      <c r="E29">
        <v>5</v>
      </c>
      <c r="F29">
        <v>8</v>
      </c>
      <c r="G29" s="2">
        <f t="shared" si="7"/>
        <v>14705454545.454546</v>
      </c>
      <c r="H29">
        <v>5</v>
      </c>
      <c r="I29">
        <v>3</v>
      </c>
      <c r="J29" s="2">
        <f t="shared" si="8"/>
        <v>5514545454.545454</v>
      </c>
      <c r="K29">
        <v>5</v>
      </c>
      <c r="L29">
        <v>3</v>
      </c>
      <c r="M29" s="2">
        <f t="shared" si="9"/>
        <v>5514545454.545454</v>
      </c>
      <c r="N29" s="5">
        <f t="shared" si="10"/>
        <v>8578181818.181819</v>
      </c>
      <c r="O29">
        <v>11</v>
      </c>
      <c r="P29">
        <v>1000</v>
      </c>
      <c r="Q29">
        <f t="shared" si="4"/>
        <v>91.909090909090907</v>
      </c>
      <c r="R29">
        <v>5.0000000000000001E-3</v>
      </c>
    </row>
    <row r="30" spans="2:23" x14ac:dyDescent="0.2">
      <c r="B30">
        <v>3</v>
      </c>
      <c r="C30">
        <f>C25+1</f>
        <v>2</v>
      </c>
      <c r="D30">
        <f>D29+1</f>
        <v>3</v>
      </c>
      <c r="E30">
        <v>5</v>
      </c>
      <c r="F30">
        <v>7</v>
      </c>
      <c r="G30" s="2">
        <f t="shared" si="7"/>
        <v>9473333333.333334</v>
      </c>
      <c r="H30">
        <v>5</v>
      </c>
      <c r="I30">
        <v>5</v>
      </c>
      <c r="J30" s="2">
        <f t="shared" si="8"/>
        <v>6766666666.666667</v>
      </c>
      <c r="K30">
        <v>5</v>
      </c>
      <c r="L30">
        <v>7</v>
      </c>
      <c r="M30" s="2">
        <f t="shared" si="9"/>
        <v>9473333333.333334</v>
      </c>
      <c r="N30" s="5">
        <f t="shared" si="10"/>
        <v>8571111111.1111116</v>
      </c>
      <c r="O30">
        <v>15</v>
      </c>
      <c r="P30">
        <v>1000</v>
      </c>
      <c r="Q30">
        <f t="shared" si="4"/>
        <v>67.666666666666671</v>
      </c>
      <c r="R30">
        <v>5.0000000000000001E-3</v>
      </c>
    </row>
    <row r="31" spans="2:23" x14ac:dyDescent="0.2">
      <c r="B31">
        <v>3</v>
      </c>
      <c r="C31">
        <f>C26+1</f>
        <v>2</v>
      </c>
      <c r="D31">
        <f>D30+1</f>
        <v>4</v>
      </c>
      <c r="E31">
        <v>5</v>
      </c>
      <c r="F31">
        <v>4</v>
      </c>
      <c r="G31" s="2">
        <f t="shared" si="7"/>
        <v>5413333333.333334</v>
      </c>
      <c r="H31">
        <v>5</v>
      </c>
      <c r="I31">
        <v>7</v>
      </c>
      <c r="J31" s="2">
        <f t="shared" si="8"/>
        <v>9473333333.333334</v>
      </c>
      <c r="K31">
        <v>5</v>
      </c>
      <c r="L31">
        <v>6</v>
      </c>
      <c r="M31" s="2">
        <f t="shared" si="9"/>
        <v>8120000000.000001</v>
      </c>
      <c r="N31" s="5">
        <f t="shared" si="10"/>
        <v>7668888888.8888893</v>
      </c>
      <c r="O31">
        <v>15</v>
      </c>
      <c r="P31">
        <v>1000</v>
      </c>
      <c r="Q31">
        <f t="shared" si="4"/>
        <v>67.666666666666671</v>
      </c>
      <c r="R31">
        <v>5.0000000000000001E-3</v>
      </c>
    </row>
    <row r="32" spans="2:23" x14ac:dyDescent="0.2">
      <c r="B32" s="4">
        <v>3</v>
      </c>
      <c r="C32" s="4">
        <f>C27+1</f>
        <v>2</v>
      </c>
      <c r="D32" s="4">
        <f>D31+1</f>
        <v>5</v>
      </c>
      <c r="E32" s="4">
        <v>5</v>
      </c>
      <c r="F32" s="4">
        <v>7</v>
      </c>
      <c r="G32" s="2">
        <f t="shared" si="7"/>
        <v>10909230769.230768</v>
      </c>
      <c r="H32">
        <v>5</v>
      </c>
      <c r="I32">
        <v>8</v>
      </c>
      <c r="J32" s="2">
        <f t="shared" si="8"/>
        <v>12467692307.692307</v>
      </c>
      <c r="K32">
        <v>5</v>
      </c>
      <c r="L32">
        <v>3</v>
      </c>
      <c r="M32" s="2">
        <f t="shared" si="9"/>
        <v>4675384615.3846149</v>
      </c>
      <c r="N32" s="5">
        <f t="shared" si="10"/>
        <v>9350769230.769228</v>
      </c>
      <c r="O32">
        <v>13</v>
      </c>
      <c r="P32" s="4">
        <v>1000</v>
      </c>
      <c r="Q32" s="4">
        <f t="shared" si="4"/>
        <v>77.92307692307692</v>
      </c>
      <c r="R32" s="4">
        <v>5.0000000000000001E-3</v>
      </c>
    </row>
    <row r="33" spans="1:18" x14ac:dyDescent="0.2">
      <c r="B33" s="1">
        <v>4</v>
      </c>
      <c r="C33" s="1">
        <v>1</v>
      </c>
      <c r="D33" s="1">
        <v>1</v>
      </c>
      <c r="E33">
        <v>6</v>
      </c>
      <c r="F33">
        <v>9</v>
      </c>
      <c r="G33" s="2">
        <f t="shared" si="7"/>
        <v>114300000000</v>
      </c>
      <c r="H33">
        <v>6</v>
      </c>
      <c r="I33">
        <v>10</v>
      </c>
      <c r="J33" s="2">
        <f t="shared" si="8"/>
        <v>127000000000</v>
      </c>
      <c r="K33">
        <v>6</v>
      </c>
      <c r="L33">
        <v>5</v>
      </c>
      <c r="M33" s="2">
        <f t="shared" si="9"/>
        <v>63500000000</v>
      </c>
      <c r="N33" s="5">
        <f t="shared" si="10"/>
        <v>101600000000</v>
      </c>
      <c r="O33" s="15">
        <v>16</v>
      </c>
      <c r="P33" s="1">
        <v>1000</v>
      </c>
      <c r="Q33" s="4">
        <f t="shared" si="4"/>
        <v>63.5</v>
      </c>
      <c r="R33" s="1">
        <v>5.0000000000000001E-3</v>
      </c>
    </row>
    <row r="34" spans="1:18" x14ac:dyDescent="0.2">
      <c r="B34">
        <v>4</v>
      </c>
      <c r="C34">
        <f>C33</f>
        <v>1</v>
      </c>
      <c r="D34">
        <f>D33+1</f>
        <v>2</v>
      </c>
      <c r="E34">
        <v>6</v>
      </c>
      <c r="F34">
        <v>9</v>
      </c>
      <c r="G34" s="2">
        <f t="shared" si="7"/>
        <v>114300000000</v>
      </c>
      <c r="H34">
        <v>6</v>
      </c>
      <c r="I34">
        <v>8</v>
      </c>
      <c r="J34" s="2">
        <f t="shared" si="8"/>
        <v>101600000000</v>
      </c>
      <c r="K34">
        <v>6</v>
      </c>
      <c r="L34">
        <v>5</v>
      </c>
      <c r="M34" s="2">
        <f t="shared" si="9"/>
        <v>63500000000</v>
      </c>
      <c r="N34" s="5">
        <f t="shared" si="10"/>
        <v>93133333333.333328</v>
      </c>
      <c r="O34" s="15">
        <v>16</v>
      </c>
      <c r="P34">
        <v>1000</v>
      </c>
      <c r="Q34" s="4">
        <f t="shared" si="4"/>
        <v>63.5</v>
      </c>
      <c r="R34">
        <v>5.0000000000000001E-3</v>
      </c>
    </row>
    <row r="35" spans="1:18" x14ac:dyDescent="0.2">
      <c r="B35" s="1">
        <v>4</v>
      </c>
      <c r="C35">
        <f>C34</f>
        <v>1</v>
      </c>
      <c r="D35">
        <f>D34+1</f>
        <v>3</v>
      </c>
      <c r="E35">
        <v>6</v>
      </c>
      <c r="F35">
        <v>14</v>
      </c>
      <c r="G35" s="2">
        <f t="shared" si="7"/>
        <v>218184615384.61539</v>
      </c>
      <c r="H35">
        <v>6</v>
      </c>
      <c r="I35">
        <v>13</v>
      </c>
      <c r="J35" s="2">
        <f t="shared" si="8"/>
        <v>202600000000</v>
      </c>
      <c r="K35">
        <v>6</v>
      </c>
      <c r="L35">
        <v>16</v>
      </c>
      <c r="M35" s="2">
        <f t="shared" si="9"/>
        <v>249353846153.84613</v>
      </c>
      <c r="N35" s="5">
        <f t="shared" si="10"/>
        <v>223379487179.48715</v>
      </c>
      <c r="O35" s="15">
        <v>13</v>
      </c>
      <c r="P35">
        <v>1000</v>
      </c>
      <c r="Q35" s="4">
        <f t="shared" si="4"/>
        <v>77.92307692307692</v>
      </c>
      <c r="R35">
        <v>5.0000000000000001E-3</v>
      </c>
    </row>
    <row r="36" spans="1:18" x14ac:dyDescent="0.2">
      <c r="B36">
        <v>4</v>
      </c>
      <c r="C36">
        <f>C35</f>
        <v>1</v>
      </c>
      <c r="D36">
        <f>D35+1</f>
        <v>4</v>
      </c>
      <c r="E36">
        <v>6</v>
      </c>
      <c r="F36">
        <v>9</v>
      </c>
      <c r="G36" s="2">
        <f t="shared" si="7"/>
        <v>96536842105.263153</v>
      </c>
      <c r="H36">
        <v>6</v>
      </c>
      <c r="I36">
        <v>9</v>
      </c>
      <c r="J36" s="2">
        <f t="shared" si="8"/>
        <v>96536842105.263153</v>
      </c>
      <c r="K36">
        <v>6</v>
      </c>
      <c r="L36">
        <v>8</v>
      </c>
      <c r="M36" s="2">
        <f t="shared" si="9"/>
        <v>85810526315.789474</v>
      </c>
      <c r="N36" s="5">
        <f t="shared" si="10"/>
        <v>92961403508.771927</v>
      </c>
      <c r="O36" s="15">
        <v>19</v>
      </c>
      <c r="P36">
        <v>1000</v>
      </c>
      <c r="Q36" s="4">
        <f t="shared" si="4"/>
        <v>53.631578947368418</v>
      </c>
      <c r="R36">
        <v>5.0000000000000001E-3</v>
      </c>
    </row>
    <row r="37" spans="1:18" x14ac:dyDescent="0.2">
      <c r="B37" s="1">
        <v>4</v>
      </c>
      <c r="C37">
        <f>C36</f>
        <v>1</v>
      </c>
      <c r="D37">
        <f>D36+1</f>
        <v>5</v>
      </c>
      <c r="E37">
        <v>6</v>
      </c>
      <c r="F37">
        <v>4</v>
      </c>
      <c r="G37" s="2">
        <f t="shared" si="7"/>
        <v>50800000000</v>
      </c>
      <c r="H37">
        <v>5</v>
      </c>
      <c r="I37">
        <v>11</v>
      </c>
      <c r="J37" s="2">
        <f t="shared" si="8"/>
        <v>13970000000</v>
      </c>
      <c r="K37">
        <v>5</v>
      </c>
      <c r="L37">
        <v>12</v>
      </c>
      <c r="M37" s="2">
        <f t="shared" si="9"/>
        <v>15240000000</v>
      </c>
      <c r="N37" s="5">
        <f t="shared" si="10"/>
        <v>26670000000</v>
      </c>
      <c r="O37" s="15">
        <v>16</v>
      </c>
      <c r="P37">
        <v>1000</v>
      </c>
      <c r="Q37" s="4">
        <f t="shared" si="4"/>
        <v>63.5</v>
      </c>
      <c r="R37">
        <v>5.0000000000000001E-3</v>
      </c>
    </row>
    <row r="38" spans="1:18" x14ac:dyDescent="0.2">
      <c r="B38">
        <v>4</v>
      </c>
      <c r="C38">
        <f>C33+1</f>
        <v>2</v>
      </c>
      <c r="D38">
        <v>1</v>
      </c>
      <c r="E38">
        <v>4</v>
      </c>
      <c r="F38">
        <v>12</v>
      </c>
      <c r="G38" s="2">
        <f t="shared" si="7"/>
        <v>1357333333.3333333</v>
      </c>
      <c r="H38">
        <v>4</v>
      </c>
      <c r="I38">
        <v>19</v>
      </c>
      <c r="J38" s="2">
        <f t="shared" si="8"/>
        <v>2149111111.1111112</v>
      </c>
      <c r="K38">
        <v>4</v>
      </c>
      <c r="L38">
        <v>12</v>
      </c>
      <c r="M38" s="2">
        <f t="shared" si="9"/>
        <v>1357333333.3333333</v>
      </c>
      <c r="N38" s="5">
        <f t="shared" si="10"/>
        <v>1621259259.2592592</v>
      </c>
      <c r="O38" s="15">
        <v>18</v>
      </c>
      <c r="P38">
        <v>1000</v>
      </c>
      <c r="Q38" s="4">
        <f t="shared" si="4"/>
        <v>56.555555555555557</v>
      </c>
      <c r="R38">
        <v>5.0000000000000001E-3</v>
      </c>
    </row>
    <row r="39" spans="1:18" x14ac:dyDescent="0.2">
      <c r="B39" s="1">
        <v>4</v>
      </c>
      <c r="C39">
        <f>C34+1</f>
        <v>2</v>
      </c>
      <c r="D39">
        <f>D38+1</f>
        <v>2</v>
      </c>
      <c r="E39">
        <v>5</v>
      </c>
      <c r="F39">
        <v>7</v>
      </c>
      <c r="G39" s="2">
        <f t="shared" si="7"/>
        <v>8890000000</v>
      </c>
      <c r="H39">
        <v>5</v>
      </c>
      <c r="I39">
        <v>9</v>
      </c>
      <c r="J39" s="2">
        <f t="shared" si="8"/>
        <v>11430000000</v>
      </c>
      <c r="K39">
        <v>5</v>
      </c>
      <c r="L39">
        <v>12</v>
      </c>
      <c r="M39" s="2">
        <f t="shared" si="9"/>
        <v>15240000000</v>
      </c>
      <c r="N39" s="5">
        <f t="shared" si="10"/>
        <v>11853333333.333334</v>
      </c>
      <c r="O39" s="15">
        <v>16</v>
      </c>
      <c r="P39">
        <v>1000</v>
      </c>
      <c r="Q39" s="4">
        <f t="shared" si="4"/>
        <v>63.5</v>
      </c>
      <c r="R39">
        <v>5.0000000000000001E-3</v>
      </c>
    </row>
    <row r="40" spans="1:18" x14ac:dyDescent="0.2">
      <c r="B40">
        <v>4</v>
      </c>
      <c r="C40">
        <f>C35+1</f>
        <v>2</v>
      </c>
      <c r="D40">
        <f>D39+1</f>
        <v>3</v>
      </c>
      <c r="E40">
        <v>5</v>
      </c>
      <c r="F40">
        <v>7</v>
      </c>
      <c r="G40" s="2">
        <f t="shared" si="7"/>
        <v>12867272727.272726</v>
      </c>
      <c r="H40">
        <v>5</v>
      </c>
      <c r="I40">
        <v>8</v>
      </c>
      <c r="J40" s="2">
        <f t="shared" si="8"/>
        <v>14705454545.454546</v>
      </c>
      <c r="K40">
        <v>5</v>
      </c>
      <c r="L40">
        <v>5</v>
      </c>
      <c r="M40" s="2">
        <f t="shared" si="9"/>
        <v>9190909090.90909</v>
      </c>
      <c r="N40" s="5">
        <f t="shared" si="10"/>
        <v>12254545454.545454</v>
      </c>
      <c r="O40" s="15">
        <v>11</v>
      </c>
      <c r="P40">
        <v>1000</v>
      </c>
      <c r="Q40" s="4">
        <f t="shared" si="4"/>
        <v>91.909090909090907</v>
      </c>
      <c r="R40">
        <v>5.0000000000000001E-3</v>
      </c>
    </row>
    <row r="41" spans="1:18" x14ac:dyDescent="0.2">
      <c r="B41" s="1">
        <v>4</v>
      </c>
      <c r="C41">
        <f>C36+1</f>
        <v>2</v>
      </c>
      <c r="D41">
        <f>D40+1</f>
        <v>4</v>
      </c>
      <c r="E41">
        <v>5</v>
      </c>
      <c r="F41">
        <v>13</v>
      </c>
      <c r="G41" s="2">
        <f t="shared" si="7"/>
        <v>23896363636.363636</v>
      </c>
      <c r="H41">
        <v>5</v>
      </c>
      <c r="I41">
        <v>8</v>
      </c>
      <c r="J41" s="2">
        <f t="shared" si="8"/>
        <v>14705454545.454546</v>
      </c>
      <c r="K41">
        <v>5</v>
      </c>
      <c r="L41">
        <v>9</v>
      </c>
      <c r="M41" s="2">
        <f t="shared" si="9"/>
        <v>16543636363.636364</v>
      </c>
      <c r="N41" s="5">
        <f t="shared" si="10"/>
        <v>18381818181.81818</v>
      </c>
      <c r="O41" s="15">
        <v>11</v>
      </c>
      <c r="P41">
        <v>1000</v>
      </c>
      <c r="Q41" s="4">
        <f t="shared" si="4"/>
        <v>91.909090909090907</v>
      </c>
      <c r="R41">
        <v>5.0000000000000001E-3</v>
      </c>
    </row>
    <row r="42" spans="1:18" x14ac:dyDescent="0.2">
      <c r="B42" s="1">
        <v>4</v>
      </c>
      <c r="C42" s="4">
        <f>C37+1</f>
        <v>2</v>
      </c>
      <c r="D42" s="4">
        <f>D41+1</f>
        <v>5</v>
      </c>
      <c r="E42">
        <v>5</v>
      </c>
      <c r="F42">
        <v>13</v>
      </c>
      <c r="G42" s="2">
        <f t="shared" si="7"/>
        <v>20260000000</v>
      </c>
      <c r="H42">
        <v>5</v>
      </c>
      <c r="I42">
        <v>7</v>
      </c>
      <c r="J42" s="2">
        <f t="shared" si="8"/>
        <v>10909230769.230768</v>
      </c>
      <c r="K42">
        <v>5</v>
      </c>
      <c r="L42">
        <v>16</v>
      </c>
      <c r="M42" s="2">
        <f t="shared" si="9"/>
        <v>24935384615.384613</v>
      </c>
      <c r="N42" s="5">
        <f t="shared" si="10"/>
        <v>18701538461.53846</v>
      </c>
      <c r="O42" s="16">
        <v>13</v>
      </c>
      <c r="P42" s="4">
        <v>1000</v>
      </c>
      <c r="Q42" s="4">
        <f t="shared" si="4"/>
        <v>77.92307692307692</v>
      </c>
      <c r="R42" s="4">
        <v>5.0000000000000001E-3</v>
      </c>
    </row>
    <row r="43" spans="1:18" x14ac:dyDescent="0.2">
      <c r="A43" t="s">
        <v>37</v>
      </c>
      <c r="B43">
        <v>5</v>
      </c>
      <c r="C43" s="1">
        <v>1</v>
      </c>
      <c r="D43" s="1">
        <v>1</v>
      </c>
      <c r="E43">
        <v>6</v>
      </c>
      <c r="F43">
        <v>11</v>
      </c>
      <c r="G43" s="2">
        <f t="shared" si="7"/>
        <v>139700000000</v>
      </c>
      <c r="H43">
        <v>6</v>
      </c>
      <c r="I43">
        <v>13</v>
      </c>
      <c r="J43" s="2">
        <f t="shared" si="8"/>
        <v>165100000000</v>
      </c>
      <c r="K43">
        <v>6</v>
      </c>
      <c r="L43">
        <v>10</v>
      </c>
      <c r="M43" s="2">
        <f t="shared" si="9"/>
        <v>127000000000</v>
      </c>
      <c r="N43" s="5">
        <f t="shared" si="10"/>
        <v>143933333333.33334</v>
      </c>
      <c r="O43">
        <v>16</v>
      </c>
      <c r="P43" s="1">
        <v>1000</v>
      </c>
      <c r="Q43" s="4">
        <f t="shared" si="4"/>
        <v>63.5</v>
      </c>
      <c r="R43" s="1">
        <v>5.0000000000000001E-3</v>
      </c>
    </row>
    <row r="44" spans="1:18" x14ac:dyDescent="0.2">
      <c r="A44" t="s">
        <v>37</v>
      </c>
      <c r="B44">
        <v>5</v>
      </c>
      <c r="C44">
        <f>C43</f>
        <v>1</v>
      </c>
      <c r="D44">
        <f>D43+1</f>
        <v>2</v>
      </c>
      <c r="E44">
        <v>6</v>
      </c>
      <c r="F44">
        <v>16</v>
      </c>
      <c r="G44" s="2">
        <f t="shared" si="7"/>
        <v>203200000000</v>
      </c>
      <c r="H44">
        <v>6</v>
      </c>
      <c r="I44">
        <v>12</v>
      </c>
      <c r="J44" s="2">
        <f t="shared" si="8"/>
        <v>152400000000</v>
      </c>
      <c r="K44">
        <v>6</v>
      </c>
      <c r="L44">
        <v>15</v>
      </c>
      <c r="M44" s="2">
        <f t="shared" si="9"/>
        <v>190500000000</v>
      </c>
      <c r="N44" s="5">
        <f t="shared" si="10"/>
        <v>182033333333.33334</v>
      </c>
      <c r="O44">
        <v>16</v>
      </c>
      <c r="P44">
        <v>1000</v>
      </c>
      <c r="Q44" s="4">
        <f t="shared" si="4"/>
        <v>63.5</v>
      </c>
      <c r="R44">
        <v>5.0000000000000001E-3</v>
      </c>
    </row>
    <row r="45" spans="1:18" x14ac:dyDescent="0.2">
      <c r="A45" t="s">
        <v>38</v>
      </c>
      <c r="B45">
        <v>5</v>
      </c>
      <c r="C45">
        <f>C44</f>
        <v>1</v>
      </c>
      <c r="D45">
        <f>D44+1</f>
        <v>3</v>
      </c>
      <c r="E45">
        <v>6</v>
      </c>
      <c r="F45">
        <v>15</v>
      </c>
      <c r="G45" s="2">
        <f t="shared" si="7"/>
        <v>233769230769.23077</v>
      </c>
      <c r="H45">
        <v>6</v>
      </c>
      <c r="I45">
        <v>10</v>
      </c>
      <c r="J45" s="2">
        <f t="shared" si="8"/>
        <v>155846153846.15384</v>
      </c>
      <c r="K45">
        <v>6</v>
      </c>
      <c r="L45">
        <v>6</v>
      </c>
      <c r="M45" s="2">
        <f t="shared" si="9"/>
        <v>93507692307.692307</v>
      </c>
      <c r="N45" s="5">
        <f t="shared" si="10"/>
        <v>161041025641.02567</v>
      </c>
      <c r="O45">
        <v>13</v>
      </c>
      <c r="P45">
        <v>1000</v>
      </c>
      <c r="Q45" s="4">
        <f t="shared" si="4"/>
        <v>77.92307692307692</v>
      </c>
      <c r="R45">
        <v>5.0000000000000001E-3</v>
      </c>
    </row>
    <row r="46" spans="1:18" x14ac:dyDescent="0.2">
      <c r="A46" t="s">
        <v>38</v>
      </c>
      <c r="B46">
        <v>5</v>
      </c>
      <c r="C46">
        <f>C45</f>
        <v>1</v>
      </c>
      <c r="D46">
        <f>D45+1</f>
        <v>4</v>
      </c>
      <c r="E46">
        <v>6</v>
      </c>
      <c r="F46">
        <v>9</v>
      </c>
      <c r="G46" s="2">
        <f t="shared" si="7"/>
        <v>96536842105.263153</v>
      </c>
      <c r="H46">
        <v>5</v>
      </c>
      <c r="I46">
        <v>7</v>
      </c>
      <c r="J46" s="2">
        <f t="shared" si="8"/>
        <v>7508421052.6315784</v>
      </c>
      <c r="K46">
        <v>6</v>
      </c>
      <c r="L46">
        <v>4</v>
      </c>
      <c r="M46" s="2">
        <f t="shared" si="9"/>
        <v>42905263157.894737</v>
      </c>
      <c r="N46" s="5">
        <f t="shared" si="10"/>
        <v>48983508771.929817</v>
      </c>
      <c r="O46">
        <v>19</v>
      </c>
      <c r="P46">
        <v>1000</v>
      </c>
      <c r="Q46" s="4">
        <f t="shared" si="4"/>
        <v>53.631578947368418</v>
      </c>
      <c r="R46">
        <v>5.0000000000000001E-3</v>
      </c>
    </row>
    <row r="47" spans="1:18" x14ac:dyDescent="0.2">
      <c r="A47" t="s">
        <v>39</v>
      </c>
      <c r="B47">
        <v>5</v>
      </c>
      <c r="C47">
        <f>C46</f>
        <v>1</v>
      </c>
      <c r="D47">
        <f>D46+1</f>
        <v>5</v>
      </c>
      <c r="E47">
        <v>6</v>
      </c>
      <c r="F47">
        <v>5</v>
      </c>
      <c r="G47" s="2">
        <f t="shared" si="7"/>
        <v>63500000000</v>
      </c>
      <c r="H47">
        <v>5</v>
      </c>
      <c r="I47">
        <v>15</v>
      </c>
      <c r="J47" s="2">
        <f t="shared" si="8"/>
        <v>19050000000</v>
      </c>
      <c r="K47">
        <v>5</v>
      </c>
      <c r="L47">
        <v>21</v>
      </c>
      <c r="M47" s="2">
        <f t="shared" si="9"/>
        <v>26670000000</v>
      </c>
      <c r="N47" s="5">
        <f t="shared" si="10"/>
        <v>36406666666.666664</v>
      </c>
      <c r="O47">
        <v>16</v>
      </c>
      <c r="P47">
        <v>1000</v>
      </c>
      <c r="Q47" s="4">
        <f t="shared" si="4"/>
        <v>63.5</v>
      </c>
      <c r="R47">
        <v>5.0000000000000001E-3</v>
      </c>
    </row>
    <row r="48" spans="1:18" x14ac:dyDescent="0.2">
      <c r="A48" t="s">
        <v>39</v>
      </c>
      <c r="B48">
        <v>5</v>
      </c>
      <c r="C48">
        <f>C43+1</f>
        <v>2</v>
      </c>
      <c r="D48">
        <v>1</v>
      </c>
      <c r="E48">
        <v>4</v>
      </c>
      <c r="F48">
        <v>11</v>
      </c>
      <c r="G48" s="2">
        <f t="shared" si="7"/>
        <v>1244222222.2222223</v>
      </c>
      <c r="H48">
        <v>4</v>
      </c>
      <c r="I48">
        <v>4</v>
      </c>
      <c r="J48" s="2">
        <f t="shared" si="8"/>
        <v>452444444.44444448</v>
      </c>
      <c r="K48">
        <v>4</v>
      </c>
      <c r="L48">
        <v>8</v>
      </c>
      <c r="M48" s="2">
        <f t="shared" si="9"/>
        <v>904888888.88888896</v>
      </c>
      <c r="N48" s="5">
        <f t="shared" si="10"/>
        <v>867185185.18518531</v>
      </c>
      <c r="O48">
        <v>18</v>
      </c>
      <c r="P48">
        <v>1000</v>
      </c>
      <c r="Q48" s="4">
        <f t="shared" si="4"/>
        <v>56.555555555555557</v>
      </c>
      <c r="R48">
        <v>5.0000000000000001E-3</v>
      </c>
    </row>
    <row r="49" spans="1:18" x14ac:dyDescent="0.2">
      <c r="A49" t="s">
        <v>40</v>
      </c>
      <c r="B49">
        <v>5</v>
      </c>
      <c r="C49">
        <f>C44+1</f>
        <v>2</v>
      </c>
      <c r="D49">
        <f>D48+1</f>
        <v>2</v>
      </c>
      <c r="E49">
        <v>4</v>
      </c>
      <c r="F49">
        <v>13</v>
      </c>
      <c r="G49" s="2">
        <f t="shared" si="7"/>
        <v>1651000000</v>
      </c>
      <c r="H49">
        <v>4</v>
      </c>
      <c r="I49">
        <v>9</v>
      </c>
      <c r="J49" s="2">
        <f t="shared" si="8"/>
        <v>1143000000</v>
      </c>
      <c r="K49">
        <v>4</v>
      </c>
      <c r="L49">
        <v>4</v>
      </c>
      <c r="M49" s="2">
        <f t="shared" si="9"/>
        <v>508000000</v>
      </c>
      <c r="N49" s="5">
        <f t="shared" si="10"/>
        <v>1100666666.6666667</v>
      </c>
      <c r="O49">
        <v>16</v>
      </c>
      <c r="P49">
        <v>1000</v>
      </c>
      <c r="Q49" s="4">
        <f t="shared" si="4"/>
        <v>63.5</v>
      </c>
      <c r="R49">
        <v>5.0000000000000001E-3</v>
      </c>
    </row>
    <row r="50" spans="1:18" x14ac:dyDescent="0.2">
      <c r="A50" t="s">
        <v>40</v>
      </c>
      <c r="B50">
        <v>5</v>
      </c>
      <c r="C50">
        <f>C45+1</f>
        <v>2</v>
      </c>
      <c r="D50">
        <f>D49+1</f>
        <v>3</v>
      </c>
      <c r="E50">
        <v>4</v>
      </c>
      <c r="F50">
        <v>10</v>
      </c>
      <c r="G50" s="2">
        <f t="shared" si="7"/>
        <v>1838181818.1818182</v>
      </c>
      <c r="H50">
        <v>4</v>
      </c>
      <c r="I50">
        <v>4</v>
      </c>
      <c r="J50" s="2">
        <f t="shared" si="8"/>
        <v>735272727.27272725</v>
      </c>
      <c r="K50">
        <v>4</v>
      </c>
      <c r="L50">
        <v>4</v>
      </c>
      <c r="M50" s="2">
        <f t="shared" si="9"/>
        <v>735272727.27272725</v>
      </c>
      <c r="N50" s="5">
        <f t="shared" si="10"/>
        <v>1102909090.909091</v>
      </c>
      <c r="O50">
        <v>11</v>
      </c>
      <c r="P50">
        <v>1000</v>
      </c>
      <c r="Q50" s="4">
        <f t="shared" si="4"/>
        <v>91.909090909090907</v>
      </c>
      <c r="R50">
        <v>5.0000000000000001E-3</v>
      </c>
    </row>
    <row r="51" spans="1:18" x14ac:dyDescent="0.2">
      <c r="A51" t="s">
        <v>41</v>
      </c>
      <c r="B51">
        <v>5</v>
      </c>
      <c r="C51">
        <f>C46+1</f>
        <v>2</v>
      </c>
      <c r="D51">
        <f>D50+1</f>
        <v>4</v>
      </c>
      <c r="E51">
        <v>4</v>
      </c>
      <c r="F51">
        <v>7</v>
      </c>
      <c r="G51" s="2">
        <f t="shared" si="7"/>
        <v>1286727272.7272727</v>
      </c>
      <c r="H51">
        <v>4</v>
      </c>
      <c r="I51">
        <v>5</v>
      </c>
      <c r="J51" s="2">
        <f t="shared" si="8"/>
        <v>919090909.09090912</v>
      </c>
      <c r="K51">
        <v>4</v>
      </c>
      <c r="L51">
        <v>8</v>
      </c>
      <c r="M51" s="2">
        <f t="shared" si="9"/>
        <v>1470545454.5454545</v>
      </c>
      <c r="N51" s="5">
        <f t="shared" si="10"/>
        <v>1225454545.4545455</v>
      </c>
      <c r="O51">
        <v>11</v>
      </c>
      <c r="P51">
        <v>1000</v>
      </c>
      <c r="Q51" s="4">
        <f t="shared" si="4"/>
        <v>91.909090909090907</v>
      </c>
      <c r="R51">
        <v>5.0000000000000001E-3</v>
      </c>
    </row>
    <row r="52" spans="1:18" ht="17" thickBot="1" x14ac:dyDescent="0.25">
      <c r="A52" t="s">
        <v>41</v>
      </c>
      <c r="B52">
        <v>5</v>
      </c>
      <c r="C52">
        <f>C47+1</f>
        <v>2</v>
      </c>
      <c r="D52">
        <f>D51+1</f>
        <v>5</v>
      </c>
      <c r="E52">
        <v>4</v>
      </c>
      <c r="F52">
        <v>4</v>
      </c>
      <c r="G52" s="2">
        <f t="shared" si="7"/>
        <v>623384615.3846153</v>
      </c>
      <c r="H52">
        <v>3</v>
      </c>
      <c r="I52">
        <v>25</v>
      </c>
      <c r="J52" s="2">
        <f t="shared" si="8"/>
        <v>389615384.61538458</v>
      </c>
      <c r="K52">
        <v>3</v>
      </c>
      <c r="L52">
        <v>24</v>
      </c>
      <c r="M52" s="2">
        <f t="shared" si="9"/>
        <v>374030769.23076922</v>
      </c>
      <c r="N52" s="5">
        <f t="shared" si="10"/>
        <v>462343589.7435897</v>
      </c>
      <c r="O52">
        <v>13</v>
      </c>
      <c r="P52">
        <v>1000</v>
      </c>
      <c r="Q52">
        <f t="shared" si="4"/>
        <v>77.92307692307692</v>
      </c>
      <c r="R52">
        <v>5.0000000000000001E-3</v>
      </c>
    </row>
    <row r="53" spans="1:18" s="23" customFormat="1" x14ac:dyDescent="0.2">
      <c r="A53" s="22" t="s">
        <v>37</v>
      </c>
      <c r="B53" s="23">
        <f>B43+1</f>
        <v>6</v>
      </c>
      <c r="E53" s="23">
        <v>5</v>
      </c>
      <c r="F53" s="23">
        <v>17</v>
      </c>
      <c r="G53" s="24">
        <f t="shared" si="7"/>
        <v>16340000000.000002</v>
      </c>
      <c r="H53" s="23">
        <v>5</v>
      </c>
      <c r="I53" s="23">
        <v>21</v>
      </c>
      <c r="J53" s="24">
        <f t="shared" si="8"/>
        <v>20184705882.352943</v>
      </c>
      <c r="K53" s="23">
        <v>5</v>
      </c>
      <c r="L53" s="23">
        <v>17</v>
      </c>
      <c r="M53" s="24">
        <f t="shared" si="9"/>
        <v>16340000000.000002</v>
      </c>
      <c r="N53" s="25">
        <f t="shared" si="10"/>
        <v>17621568627.450981</v>
      </c>
      <c r="O53" s="18">
        <v>17</v>
      </c>
      <c r="P53" s="23">
        <v>800</v>
      </c>
      <c r="Q53" s="23">
        <f t="shared" si="4"/>
        <v>48.058823529411768</v>
      </c>
      <c r="R53" s="26">
        <v>5.0000000000000001E-3</v>
      </c>
    </row>
    <row r="54" spans="1:18" x14ac:dyDescent="0.2">
      <c r="A54" s="27" t="s">
        <v>37</v>
      </c>
      <c r="B54">
        <f t="shared" ref="B54:B82" si="11">B44+1</f>
        <v>6</v>
      </c>
      <c r="E54">
        <v>5</v>
      </c>
      <c r="F54">
        <v>14</v>
      </c>
      <c r="G54" s="2">
        <f t="shared" si="7"/>
        <v>18946666666.666668</v>
      </c>
      <c r="H54">
        <v>5</v>
      </c>
      <c r="I54">
        <v>10</v>
      </c>
      <c r="J54" s="2">
        <f t="shared" si="8"/>
        <v>13533333333.333334</v>
      </c>
      <c r="K54">
        <v>5</v>
      </c>
      <c r="L54">
        <v>14</v>
      </c>
      <c r="M54" s="2">
        <f t="shared" si="9"/>
        <v>18946666666.666668</v>
      </c>
      <c r="N54" s="5">
        <f t="shared" si="10"/>
        <v>17142222222.222223</v>
      </c>
      <c r="O54" s="17">
        <v>12</v>
      </c>
      <c r="P54">
        <v>800</v>
      </c>
      <c r="Q54">
        <f t="shared" si="4"/>
        <v>67.666666666666671</v>
      </c>
      <c r="R54" s="4">
        <v>5.0000000000000001E-3</v>
      </c>
    </row>
    <row r="55" spans="1:18" x14ac:dyDescent="0.2">
      <c r="A55" s="27" t="s">
        <v>38</v>
      </c>
      <c r="B55">
        <f t="shared" si="11"/>
        <v>6</v>
      </c>
      <c r="E55">
        <v>6</v>
      </c>
      <c r="F55">
        <v>4</v>
      </c>
      <c r="G55" s="2">
        <f t="shared" si="7"/>
        <v>54133333333.333336</v>
      </c>
      <c r="H55">
        <v>6</v>
      </c>
      <c r="I55">
        <v>6</v>
      </c>
      <c r="J55" s="2">
        <f t="shared" si="8"/>
        <v>81200000000</v>
      </c>
      <c r="K55">
        <v>6</v>
      </c>
      <c r="L55">
        <v>5</v>
      </c>
      <c r="M55" s="2">
        <f t="shared" si="9"/>
        <v>67666666666.666672</v>
      </c>
      <c r="N55" s="5">
        <f t="shared" si="10"/>
        <v>67666666666.666664</v>
      </c>
      <c r="O55" s="17">
        <v>18</v>
      </c>
      <c r="P55">
        <v>1200</v>
      </c>
      <c r="Q55">
        <f t="shared" si="4"/>
        <v>67.666666666666671</v>
      </c>
      <c r="R55" s="4">
        <v>5.0000000000000001E-3</v>
      </c>
    </row>
    <row r="56" spans="1:18" x14ac:dyDescent="0.2">
      <c r="A56" s="27" t="s">
        <v>38</v>
      </c>
      <c r="B56">
        <f t="shared" si="11"/>
        <v>6</v>
      </c>
      <c r="E56">
        <v>6</v>
      </c>
      <c r="F56">
        <v>6</v>
      </c>
      <c r="G56" s="2">
        <f t="shared" si="7"/>
        <v>104057142857.14285</v>
      </c>
      <c r="H56">
        <v>6</v>
      </c>
      <c r="I56">
        <v>3</v>
      </c>
      <c r="J56" s="2">
        <f t="shared" si="8"/>
        <v>52028571428.571426</v>
      </c>
      <c r="K56">
        <v>6</v>
      </c>
      <c r="L56">
        <v>4</v>
      </c>
      <c r="M56" s="2">
        <f t="shared" si="9"/>
        <v>69371428571.428574</v>
      </c>
      <c r="N56" s="5">
        <f t="shared" si="10"/>
        <v>75152380952.380966</v>
      </c>
      <c r="O56" s="17">
        <v>14</v>
      </c>
      <c r="P56">
        <v>1200</v>
      </c>
      <c r="Q56">
        <f t="shared" si="4"/>
        <v>86.714285714285708</v>
      </c>
      <c r="R56" s="4">
        <v>5.0000000000000001E-3</v>
      </c>
    </row>
    <row r="57" spans="1:18" x14ac:dyDescent="0.2">
      <c r="A57" s="27" t="s">
        <v>39</v>
      </c>
      <c r="B57">
        <f t="shared" si="11"/>
        <v>6</v>
      </c>
      <c r="E57">
        <v>6</v>
      </c>
      <c r="F57">
        <v>5</v>
      </c>
      <c r="G57" s="2">
        <f t="shared" si="7"/>
        <v>67666666666.666672</v>
      </c>
      <c r="H57">
        <v>6</v>
      </c>
      <c r="I57">
        <v>3</v>
      </c>
      <c r="J57" s="2">
        <f t="shared" si="8"/>
        <v>40600000000</v>
      </c>
      <c r="K57">
        <v>5</v>
      </c>
      <c r="L57">
        <v>25</v>
      </c>
      <c r="M57" s="2">
        <f t="shared" si="9"/>
        <v>33833333333.333336</v>
      </c>
      <c r="N57" s="5">
        <f t="shared" si="10"/>
        <v>47366666666.666664</v>
      </c>
      <c r="O57" s="17">
        <v>18</v>
      </c>
      <c r="P57">
        <v>1200</v>
      </c>
      <c r="Q57">
        <f t="shared" si="4"/>
        <v>67.666666666666671</v>
      </c>
      <c r="R57" s="4">
        <v>5.0000000000000001E-3</v>
      </c>
    </row>
    <row r="58" spans="1:18" x14ac:dyDescent="0.2">
      <c r="A58" s="27" t="s">
        <v>39</v>
      </c>
      <c r="B58">
        <f t="shared" si="11"/>
        <v>6</v>
      </c>
      <c r="E58">
        <v>5</v>
      </c>
      <c r="F58">
        <v>4</v>
      </c>
      <c r="G58" s="2">
        <f t="shared" si="7"/>
        <v>5898181818.181819</v>
      </c>
      <c r="H58">
        <v>5</v>
      </c>
      <c r="I58">
        <v>10</v>
      </c>
      <c r="J58" s="2">
        <f t="shared" si="8"/>
        <v>14745454545.454546</v>
      </c>
      <c r="K58">
        <v>5</v>
      </c>
      <c r="L58">
        <v>4</v>
      </c>
      <c r="M58" s="2">
        <f t="shared" si="9"/>
        <v>5898181818.181819</v>
      </c>
      <c r="N58" s="5">
        <f t="shared" si="10"/>
        <v>8847272727.272728</v>
      </c>
      <c r="O58" s="17">
        <v>11</v>
      </c>
      <c r="P58">
        <v>800</v>
      </c>
      <c r="Q58">
        <f t="shared" si="4"/>
        <v>73.727272727272734</v>
      </c>
      <c r="R58" s="4">
        <v>5.0000000000000001E-3</v>
      </c>
    </row>
    <row r="59" spans="1:18" x14ac:dyDescent="0.2">
      <c r="A59" s="27" t="s">
        <v>40</v>
      </c>
      <c r="B59">
        <f t="shared" si="11"/>
        <v>6</v>
      </c>
      <c r="E59">
        <v>5</v>
      </c>
      <c r="F59">
        <v>9</v>
      </c>
      <c r="G59" s="2">
        <f t="shared" si="7"/>
        <v>7380000000</v>
      </c>
      <c r="H59">
        <v>5</v>
      </c>
      <c r="I59">
        <v>11</v>
      </c>
      <c r="J59" s="2">
        <f t="shared" si="8"/>
        <v>9020000000</v>
      </c>
      <c r="K59">
        <v>5</v>
      </c>
      <c r="L59">
        <v>14</v>
      </c>
      <c r="M59" s="2">
        <f t="shared" si="9"/>
        <v>11480000000</v>
      </c>
      <c r="N59" s="5">
        <f t="shared" si="10"/>
        <v>9293333333.333334</v>
      </c>
      <c r="O59" s="17">
        <v>20</v>
      </c>
      <c r="P59">
        <v>800</v>
      </c>
      <c r="Q59">
        <f t="shared" si="4"/>
        <v>41</v>
      </c>
      <c r="R59" s="4">
        <v>5.0000000000000001E-3</v>
      </c>
    </row>
    <row r="60" spans="1:18" x14ac:dyDescent="0.2">
      <c r="A60" s="27" t="s">
        <v>40</v>
      </c>
      <c r="B60">
        <f t="shared" si="11"/>
        <v>6</v>
      </c>
      <c r="E60">
        <v>5</v>
      </c>
      <c r="F60">
        <v>4</v>
      </c>
      <c r="G60" s="2">
        <f t="shared" si="7"/>
        <v>5413333333.333334</v>
      </c>
      <c r="H60">
        <v>5</v>
      </c>
      <c r="I60">
        <v>7</v>
      </c>
      <c r="J60" s="2">
        <f t="shared" si="8"/>
        <v>9473333333.333334</v>
      </c>
      <c r="K60">
        <v>5</v>
      </c>
      <c r="L60">
        <v>14</v>
      </c>
      <c r="M60" s="2">
        <f t="shared" si="9"/>
        <v>18946666666.666668</v>
      </c>
      <c r="N60" s="5">
        <f t="shared" si="10"/>
        <v>11277777777.777779</v>
      </c>
      <c r="O60" s="17">
        <v>12</v>
      </c>
      <c r="P60">
        <v>800</v>
      </c>
      <c r="Q60">
        <f t="shared" si="4"/>
        <v>67.666666666666671</v>
      </c>
      <c r="R60" s="4">
        <v>5.0000000000000001E-3</v>
      </c>
    </row>
    <row r="61" spans="1:18" x14ac:dyDescent="0.2">
      <c r="A61" s="27" t="s">
        <v>41</v>
      </c>
      <c r="B61">
        <f t="shared" si="11"/>
        <v>6</v>
      </c>
      <c r="E61">
        <v>5</v>
      </c>
      <c r="F61">
        <v>10</v>
      </c>
      <c r="G61" s="2">
        <f t="shared" si="7"/>
        <v>16200000000</v>
      </c>
      <c r="H61">
        <v>5</v>
      </c>
      <c r="I61">
        <v>5</v>
      </c>
      <c r="J61" s="2">
        <f t="shared" si="8"/>
        <v>8100000000</v>
      </c>
      <c r="K61">
        <v>5</v>
      </c>
      <c r="L61">
        <v>13</v>
      </c>
      <c r="M61" s="2">
        <f t="shared" si="9"/>
        <v>21060000000</v>
      </c>
      <c r="N61" s="5">
        <f t="shared" si="10"/>
        <v>15120000000</v>
      </c>
      <c r="O61" s="17">
        <v>10</v>
      </c>
      <c r="P61">
        <v>800</v>
      </c>
      <c r="Q61">
        <f t="shared" si="4"/>
        <v>81</v>
      </c>
      <c r="R61" s="4">
        <v>5.0000000000000001E-3</v>
      </c>
    </row>
    <row r="62" spans="1:18" s="29" customFormat="1" ht="17" thickBot="1" x14ac:dyDescent="0.25">
      <c r="A62" s="28" t="s">
        <v>41</v>
      </c>
      <c r="B62" s="29">
        <f t="shared" si="11"/>
        <v>6</v>
      </c>
      <c r="E62" s="29">
        <v>5</v>
      </c>
      <c r="F62" s="29">
        <v>5</v>
      </c>
      <c r="G62" s="30">
        <f t="shared" si="7"/>
        <v>5100000000</v>
      </c>
      <c r="H62" s="29">
        <v>5</v>
      </c>
      <c r="I62" s="29">
        <v>7</v>
      </c>
      <c r="J62" s="30">
        <f t="shared" si="8"/>
        <v>7140000000</v>
      </c>
      <c r="K62" s="29">
        <v>5</v>
      </c>
      <c r="L62" s="29">
        <v>5</v>
      </c>
      <c r="M62" s="30">
        <f t="shared" si="9"/>
        <v>5100000000</v>
      </c>
      <c r="N62" s="31">
        <f t="shared" si="10"/>
        <v>5780000000</v>
      </c>
      <c r="O62" s="21">
        <v>16</v>
      </c>
      <c r="P62" s="29">
        <v>800</v>
      </c>
      <c r="Q62" s="29">
        <f t="shared" si="4"/>
        <v>51</v>
      </c>
      <c r="R62" s="29">
        <v>5.0000000000000001E-3</v>
      </c>
    </row>
    <row r="63" spans="1:18" s="23" customFormat="1" x14ac:dyDescent="0.2">
      <c r="A63" s="22" t="s">
        <v>37</v>
      </c>
      <c r="B63" s="23">
        <f t="shared" si="11"/>
        <v>7</v>
      </c>
      <c r="E63" s="23">
        <v>6</v>
      </c>
      <c r="F63" s="23">
        <v>5</v>
      </c>
      <c r="G63" s="24">
        <f t="shared" si="7"/>
        <v>101000000000</v>
      </c>
      <c r="H63" s="23">
        <v>6</v>
      </c>
      <c r="I63" s="23">
        <v>7</v>
      </c>
      <c r="J63" s="24">
        <f t="shared" si="8"/>
        <v>141400000000</v>
      </c>
      <c r="K63" s="23">
        <v>5</v>
      </c>
      <c r="L63" s="23">
        <v>8</v>
      </c>
      <c r="M63" s="24">
        <f t="shared" si="9"/>
        <v>16160000000</v>
      </c>
      <c r="N63" s="25">
        <f t="shared" si="10"/>
        <v>86186666666.666672</v>
      </c>
      <c r="O63" s="18">
        <v>8</v>
      </c>
      <c r="P63" s="23">
        <v>800</v>
      </c>
      <c r="Q63" s="23">
        <f t="shared" si="4"/>
        <v>101</v>
      </c>
      <c r="R63" s="26">
        <v>5.0000000000000001E-3</v>
      </c>
    </row>
    <row r="64" spans="1:18" x14ac:dyDescent="0.2">
      <c r="A64" s="27" t="s">
        <v>37</v>
      </c>
      <c r="B64">
        <f t="shared" si="11"/>
        <v>7</v>
      </c>
      <c r="E64">
        <v>6</v>
      </c>
      <c r="F64">
        <v>11</v>
      </c>
      <c r="G64" s="2">
        <f t="shared" si="7"/>
        <v>162200000000</v>
      </c>
      <c r="H64">
        <v>6</v>
      </c>
      <c r="I64">
        <v>5</v>
      </c>
      <c r="J64" s="2">
        <f t="shared" si="8"/>
        <v>73727272727.272736</v>
      </c>
      <c r="K64">
        <v>5</v>
      </c>
      <c r="L64">
        <v>10</v>
      </c>
      <c r="M64" s="2">
        <f t="shared" si="9"/>
        <v>14745454545.454546</v>
      </c>
      <c r="N64" s="5">
        <f t="shared" si="10"/>
        <v>83557575757.57576</v>
      </c>
      <c r="O64" s="17">
        <v>11</v>
      </c>
      <c r="P64">
        <v>800</v>
      </c>
      <c r="Q64">
        <f t="shared" si="4"/>
        <v>73.727272727272734</v>
      </c>
      <c r="R64" s="4">
        <v>5.0000000000000001E-3</v>
      </c>
    </row>
    <row r="65" spans="1:18" x14ac:dyDescent="0.2">
      <c r="A65" s="27" t="s">
        <v>38</v>
      </c>
      <c r="B65">
        <f t="shared" si="11"/>
        <v>7</v>
      </c>
      <c r="E65">
        <v>6</v>
      </c>
      <c r="F65">
        <v>13</v>
      </c>
      <c r="G65" s="2">
        <f t="shared" si="7"/>
        <v>210600000000</v>
      </c>
      <c r="H65">
        <v>6</v>
      </c>
      <c r="I65">
        <v>7</v>
      </c>
      <c r="J65" s="2">
        <f t="shared" si="8"/>
        <v>113400000000</v>
      </c>
      <c r="K65">
        <v>6</v>
      </c>
      <c r="L65">
        <v>8</v>
      </c>
      <c r="M65" s="2">
        <f t="shared" si="9"/>
        <v>129600000000</v>
      </c>
      <c r="N65" s="5">
        <f t="shared" si="10"/>
        <v>151200000000</v>
      </c>
      <c r="O65" s="17">
        <v>10</v>
      </c>
      <c r="P65">
        <v>800</v>
      </c>
      <c r="Q65">
        <f t="shared" si="4"/>
        <v>81</v>
      </c>
      <c r="R65" s="4">
        <v>5.0000000000000001E-3</v>
      </c>
    </row>
    <row r="66" spans="1:18" x14ac:dyDescent="0.2">
      <c r="A66" s="27" t="s">
        <v>38</v>
      </c>
      <c r="B66">
        <f t="shared" si="11"/>
        <v>7</v>
      </c>
      <c r="E66">
        <v>6</v>
      </c>
      <c r="F66">
        <v>16</v>
      </c>
      <c r="G66" s="2">
        <f t="shared" si="7"/>
        <v>109866666666.66667</v>
      </c>
      <c r="H66">
        <v>6</v>
      </c>
      <c r="I66">
        <v>26</v>
      </c>
      <c r="J66" s="2">
        <f t="shared" si="8"/>
        <v>178533333333.33334</v>
      </c>
      <c r="K66">
        <v>6</v>
      </c>
      <c r="L66">
        <v>16</v>
      </c>
      <c r="M66" s="2">
        <f t="shared" si="9"/>
        <v>109866666666.66667</v>
      </c>
      <c r="N66" s="5">
        <f t="shared" si="10"/>
        <v>132755555555.55556</v>
      </c>
      <c r="O66" s="17">
        <v>24</v>
      </c>
      <c r="P66">
        <v>800</v>
      </c>
      <c r="Q66">
        <f t="shared" si="4"/>
        <v>34.333333333333336</v>
      </c>
      <c r="R66" s="4">
        <v>5.0000000000000001E-3</v>
      </c>
    </row>
    <row r="67" spans="1:18" x14ac:dyDescent="0.2">
      <c r="A67" s="27" t="s">
        <v>39</v>
      </c>
      <c r="B67">
        <f t="shared" si="11"/>
        <v>7</v>
      </c>
      <c r="G67" s="2" t="e">
        <f t="shared" si="7"/>
        <v>#DIV/0!</v>
      </c>
      <c r="J67" s="2" t="e">
        <f t="shared" si="8"/>
        <v>#DIV/0!</v>
      </c>
      <c r="M67" s="2" t="e">
        <f t="shared" ref="M67:M92" si="12">L67*10^K67/R67*Q67</f>
        <v>#DIV/0!</v>
      </c>
      <c r="N67" s="5" t="e">
        <f t="shared" ref="N67:N92" si="13">AVERAGE(G67,J67,M67)</f>
        <v>#DIV/0!</v>
      </c>
      <c r="O67" s="19">
        <v>0</v>
      </c>
      <c r="P67">
        <v>800</v>
      </c>
      <c r="Q67" t="e">
        <f t="shared" ref="Q67:Q82" si="14">(P67+O67)/O67</f>
        <v>#DIV/0!</v>
      </c>
      <c r="R67" s="4">
        <v>5.0000000000000001E-3</v>
      </c>
    </row>
    <row r="68" spans="1:18" x14ac:dyDescent="0.2">
      <c r="A68" s="27" t="s">
        <v>39</v>
      </c>
      <c r="B68">
        <f t="shared" si="11"/>
        <v>7</v>
      </c>
      <c r="E68">
        <v>5</v>
      </c>
      <c r="F68">
        <v>4</v>
      </c>
      <c r="G68" s="2">
        <f t="shared" si="7"/>
        <v>4651428571.4285717</v>
      </c>
      <c r="H68">
        <v>5</v>
      </c>
      <c r="I68">
        <v>4</v>
      </c>
      <c r="J68" s="2">
        <f t="shared" si="8"/>
        <v>4651428571.4285717</v>
      </c>
      <c r="K68">
        <v>5</v>
      </c>
      <c r="L68">
        <v>4</v>
      </c>
      <c r="M68" s="2">
        <f t="shared" si="12"/>
        <v>4651428571.4285717</v>
      </c>
      <c r="N68" s="5">
        <f t="shared" si="13"/>
        <v>4651428571.4285717</v>
      </c>
      <c r="O68" s="20">
        <v>14</v>
      </c>
      <c r="P68">
        <v>800</v>
      </c>
      <c r="Q68">
        <f t="shared" si="14"/>
        <v>58.142857142857146</v>
      </c>
      <c r="R68" s="4">
        <v>5.0000000000000001E-3</v>
      </c>
    </row>
    <row r="69" spans="1:18" x14ac:dyDescent="0.2">
      <c r="A69" s="27" t="s">
        <v>40</v>
      </c>
      <c r="B69">
        <f t="shared" si="11"/>
        <v>7</v>
      </c>
      <c r="E69">
        <v>5</v>
      </c>
      <c r="F69">
        <v>11</v>
      </c>
      <c r="G69" s="2">
        <f t="shared" si="7"/>
        <v>8600952380.9523811</v>
      </c>
      <c r="H69">
        <v>5</v>
      </c>
      <c r="I69">
        <v>10</v>
      </c>
      <c r="J69" s="2">
        <f t="shared" si="8"/>
        <v>7819047619.0476189</v>
      </c>
      <c r="K69">
        <v>5</v>
      </c>
      <c r="L69">
        <v>3</v>
      </c>
      <c r="M69" s="2">
        <f t="shared" si="12"/>
        <v>2345714285.7142859</v>
      </c>
      <c r="N69" s="5">
        <f t="shared" si="13"/>
        <v>6255238095.2380953</v>
      </c>
      <c r="O69" s="17">
        <v>21</v>
      </c>
      <c r="P69">
        <v>800</v>
      </c>
      <c r="Q69">
        <f t="shared" si="14"/>
        <v>39.095238095238095</v>
      </c>
      <c r="R69" s="4">
        <v>5.0000000000000001E-3</v>
      </c>
    </row>
    <row r="70" spans="1:18" x14ac:dyDescent="0.2">
      <c r="A70" s="27" t="s">
        <v>40</v>
      </c>
      <c r="B70">
        <f t="shared" si="11"/>
        <v>7</v>
      </c>
      <c r="G70" s="2" t="e">
        <f t="shared" si="7"/>
        <v>#DIV/0!</v>
      </c>
      <c r="J70" s="2" t="e">
        <f t="shared" si="8"/>
        <v>#DIV/0!</v>
      </c>
      <c r="M70" s="2" t="e">
        <f t="shared" si="12"/>
        <v>#DIV/0!</v>
      </c>
      <c r="N70" s="5" t="e">
        <f t="shared" si="13"/>
        <v>#DIV/0!</v>
      </c>
      <c r="O70" s="19">
        <v>0</v>
      </c>
      <c r="P70">
        <v>800</v>
      </c>
      <c r="Q70" t="e">
        <f t="shared" si="14"/>
        <v>#DIV/0!</v>
      </c>
      <c r="R70" s="4">
        <v>5.0000000000000001E-3</v>
      </c>
    </row>
    <row r="71" spans="1:18" x14ac:dyDescent="0.2">
      <c r="A71" s="27" t="s">
        <v>41</v>
      </c>
      <c r="B71">
        <f t="shared" si="11"/>
        <v>7</v>
      </c>
      <c r="E71">
        <v>3</v>
      </c>
      <c r="F71">
        <v>10</v>
      </c>
      <c r="G71" s="2">
        <f t="shared" si="7"/>
        <v>74727272.727272734</v>
      </c>
      <c r="H71">
        <v>3</v>
      </c>
      <c r="I71">
        <v>8</v>
      </c>
      <c r="J71" s="2">
        <f t="shared" si="8"/>
        <v>59781818.181818187</v>
      </c>
      <c r="K71">
        <v>3</v>
      </c>
      <c r="L71">
        <v>7</v>
      </c>
      <c r="M71" s="2">
        <f t="shared" si="12"/>
        <v>52309090.909090914</v>
      </c>
      <c r="N71" s="5">
        <f t="shared" si="13"/>
        <v>62272727.272727281</v>
      </c>
      <c r="O71" s="17">
        <v>22</v>
      </c>
      <c r="P71">
        <v>800</v>
      </c>
      <c r="Q71">
        <f t="shared" si="14"/>
        <v>37.363636363636367</v>
      </c>
      <c r="R71" s="4">
        <v>5.0000000000000001E-3</v>
      </c>
    </row>
    <row r="72" spans="1:18" s="29" customFormat="1" ht="17" thickBot="1" x14ac:dyDescent="0.25">
      <c r="A72" s="28" t="s">
        <v>41</v>
      </c>
      <c r="B72" s="29">
        <f t="shared" si="11"/>
        <v>7</v>
      </c>
      <c r="E72" s="29">
        <v>5</v>
      </c>
      <c r="F72" s="29">
        <v>8</v>
      </c>
      <c r="G72" s="30">
        <f t="shared" si="7"/>
        <v>5280000000</v>
      </c>
      <c r="H72" s="29">
        <v>5</v>
      </c>
      <c r="I72" s="29">
        <v>7</v>
      </c>
      <c r="J72" s="30">
        <f t="shared" si="8"/>
        <v>4620000000</v>
      </c>
      <c r="K72" s="29">
        <v>5</v>
      </c>
      <c r="L72" s="29">
        <v>6</v>
      </c>
      <c r="M72" s="30">
        <f t="shared" si="12"/>
        <v>3960000000</v>
      </c>
      <c r="N72" s="31">
        <f t="shared" si="13"/>
        <v>4620000000</v>
      </c>
      <c r="O72" s="21">
        <v>25</v>
      </c>
      <c r="P72" s="29">
        <v>800</v>
      </c>
      <c r="Q72" s="29">
        <f t="shared" si="14"/>
        <v>33</v>
      </c>
      <c r="R72" s="29">
        <v>5.0000000000000001E-3</v>
      </c>
    </row>
    <row r="73" spans="1:18" s="23" customFormat="1" x14ac:dyDescent="0.2">
      <c r="A73" s="22" t="s">
        <v>37</v>
      </c>
      <c r="B73" s="23">
        <f t="shared" si="11"/>
        <v>8</v>
      </c>
      <c r="E73" s="23">
        <v>6</v>
      </c>
      <c r="F73" s="23">
        <v>17</v>
      </c>
      <c r="G73" s="24">
        <f t="shared" si="7"/>
        <v>184733333333.33334</v>
      </c>
      <c r="H73" s="23">
        <v>6</v>
      </c>
      <c r="I73" s="23">
        <v>7</v>
      </c>
      <c r="J73" s="24">
        <f t="shared" si="8"/>
        <v>76066666666.666672</v>
      </c>
      <c r="K73" s="23">
        <v>6</v>
      </c>
      <c r="L73" s="23">
        <v>7</v>
      </c>
      <c r="M73" s="24">
        <f t="shared" si="12"/>
        <v>76066666666.666672</v>
      </c>
      <c r="N73" s="25">
        <f t="shared" si="13"/>
        <v>112288888888.8889</v>
      </c>
      <c r="O73" s="18">
        <v>15</v>
      </c>
      <c r="P73" s="23">
        <v>800</v>
      </c>
      <c r="Q73" s="23">
        <f t="shared" si="14"/>
        <v>54.333333333333336</v>
      </c>
      <c r="R73" s="26">
        <v>5.0000000000000001E-3</v>
      </c>
    </row>
    <row r="74" spans="1:18" x14ac:dyDescent="0.2">
      <c r="A74" s="27" t="s">
        <v>37</v>
      </c>
      <c r="B74">
        <f t="shared" si="11"/>
        <v>8</v>
      </c>
      <c r="E74">
        <v>6</v>
      </c>
      <c r="F74">
        <v>8</v>
      </c>
      <c r="G74" s="2">
        <f t="shared" si="7"/>
        <v>62552380952.380951</v>
      </c>
      <c r="H74">
        <v>6</v>
      </c>
      <c r="I74">
        <v>5</v>
      </c>
      <c r="J74" s="2">
        <f t="shared" si="8"/>
        <v>39095238095.238098</v>
      </c>
      <c r="K74">
        <v>6</v>
      </c>
      <c r="L74">
        <v>8</v>
      </c>
      <c r="M74" s="2">
        <f t="shared" si="12"/>
        <v>62552380952.380951</v>
      </c>
      <c r="N74" s="5">
        <f t="shared" si="13"/>
        <v>54733333333.333336</v>
      </c>
      <c r="O74" s="17">
        <v>21</v>
      </c>
      <c r="P74">
        <v>800</v>
      </c>
      <c r="Q74">
        <f t="shared" si="14"/>
        <v>39.095238095238095</v>
      </c>
      <c r="R74" s="4">
        <v>5.0000000000000001E-3</v>
      </c>
    </row>
    <row r="75" spans="1:18" x14ac:dyDescent="0.2">
      <c r="A75" s="27" t="s">
        <v>38</v>
      </c>
      <c r="B75">
        <f t="shared" si="11"/>
        <v>8</v>
      </c>
      <c r="G75" s="2" t="e">
        <f t="shared" si="7"/>
        <v>#DIV/0!</v>
      </c>
      <c r="J75" s="2" t="e">
        <f t="shared" si="8"/>
        <v>#DIV/0!</v>
      </c>
      <c r="M75" s="2" t="e">
        <f t="shared" si="12"/>
        <v>#DIV/0!</v>
      </c>
      <c r="N75" s="5" t="e">
        <f t="shared" si="13"/>
        <v>#DIV/0!</v>
      </c>
      <c r="O75" s="17">
        <v>0</v>
      </c>
      <c r="P75">
        <v>800</v>
      </c>
      <c r="Q75" t="e">
        <f t="shared" si="14"/>
        <v>#DIV/0!</v>
      </c>
      <c r="R75" s="4">
        <v>5.0000000000000001E-3</v>
      </c>
    </row>
    <row r="76" spans="1:18" x14ac:dyDescent="0.2">
      <c r="A76" s="27" t="s">
        <v>38</v>
      </c>
      <c r="B76">
        <f t="shared" si="11"/>
        <v>8</v>
      </c>
      <c r="E76">
        <v>5</v>
      </c>
      <c r="F76">
        <v>27</v>
      </c>
      <c r="G76" s="2">
        <f t="shared" si="7"/>
        <v>27540000000</v>
      </c>
      <c r="H76">
        <v>6</v>
      </c>
      <c r="I76">
        <v>5</v>
      </c>
      <c r="J76" s="2">
        <f t="shared" si="8"/>
        <v>51000000000</v>
      </c>
      <c r="K76">
        <v>6</v>
      </c>
      <c r="L76">
        <v>6</v>
      </c>
      <c r="M76" s="2">
        <f t="shared" si="12"/>
        <v>61200000000</v>
      </c>
      <c r="N76" s="5">
        <f t="shared" si="13"/>
        <v>46580000000</v>
      </c>
      <c r="O76" s="17">
        <v>16</v>
      </c>
      <c r="P76">
        <v>800</v>
      </c>
      <c r="Q76">
        <f t="shared" si="14"/>
        <v>51</v>
      </c>
      <c r="R76" s="4">
        <v>5.0000000000000001E-3</v>
      </c>
    </row>
    <row r="77" spans="1:18" x14ac:dyDescent="0.2">
      <c r="A77" s="27" t="s">
        <v>39</v>
      </c>
      <c r="B77">
        <f t="shared" si="11"/>
        <v>8</v>
      </c>
      <c r="E77">
        <v>6</v>
      </c>
      <c r="F77">
        <v>3</v>
      </c>
      <c r="G77" s="2">
        <f t="shared" si="7"/>
        <v>22418181818.18182</v>
      </c>
      <c r="H77">
        <v>6</v>
      </c>
      <c r="I77">
        <v>9</v>
      </c>
      <c r="J77" s="2">
        <f t="shared" si="8"/>
        <v>67254545454.545464</v>
      </c>
      <c r="K77">
        <v>6</v>
      </c>
      <c r="L77">
        <v>13</v>
      </c>
      <c r="M77" s="2">
        <f t="shared" si="12"/>
        <v>97145454545.454559</v>
      </c>
      <c r="N77" s="5">
        <f t="shared" si="13"/>
        <v>62272727272.727272</v>
      </c>
      <c r="O77" s="17">
        <v>22</v>
      </c>
      <c r="P77">
        <v>800</v>
      </c>
      <c r="Q77">
        <f t="shared" si="14"/>
        <v>37.363636363636367</v>
      </c>
      <c r="R77" s="4">
        <v>5.0000000000000001E-3</v>
      </c>
    </row>
    <row r="78" spans="1:18" x14ac:dyDescent="0.2">
      <c r="A78" s="27" t="s">
        <v>39</v>
      </c>
      <c r="B78">
        <f t="shared" si="11"/>
        <v>8</v>
      </c>
      <c r="E78">
        <v>4</v>
      </c>
      <c r="F78">
        <v>11</v>
      </c>
      <c r="G78" s="2">
        <f t="shared" si="7"/>
        <v>902000000</v>
      </c>
      <c r="H78">
        <v>4</v>
      </c>
      <c r="I78">
        <v>9</v>
      </c>
      <c r="J78" s="2">
        <f t="shared" si="8"/>
        <v>738000000</v>
      </c>
      <c r="K78">
        <v>4</v>
      </c>
      <c r="L78">
        <v>10</v>
      </c>
      <c r="M78" s="2">
        <f t="shared" si="12"/>
        <v>820000000</v>
      </c>
      <c r="N78" s="5">
        <f t="shared" si="13"/>
        <v>820000000</v>
      </c>
      <c r="O78" s="20">
        <v>20</v>
      </c>
      <c r="P78">
        <v>800</v>
      </c>
      <c r="Q78">
        <f t="shared" si="14"/>
        <v>41</v>
      </c>
      <c r="R78" s="4">
        <v>5.0000000000000001E-3</v>
      </c>
    </row>
    <row r="79" spans="1:18" x14ac:dyDescent="0.2">
      <c r="A79" s="27" t="s">
        <v>40</v>
      </c>
      <c r="B79">
        <f t="shared" si="11"/>
        <v>8</v>
      </c>
      <c r="E79">
        <v>5</v>
      </c>
      <c r="F79">
        <v>7</v>
      </c>
      <c r="G79" s="2">
        <f t="shared" si="7"/>
        <v>4140000000</v>
      </c>
      <c r="H79">
        <v>5</v>
      </c>
      <c r="I79">
        <v>5</v>
      </c>
      <c r="J79" s="2">
        <f t="shared" si="8"/>
        <v>2957142857.1428571</v>
      </c>
      <c r="K79">
        <v>5</v>
      </c>
      <c r="L79">
        <v>10</v>
      </c>
      <c r="M79" s="2">
        <f t="shared" si="12"/>
        <v>5914285714.2857141</v>
      </c>
      <c r="N79" s="5">
        <f t="shared" si="13"/>
        <v>4337142857.1428566</v>
      </c>
      <c r="O79" s="17">
        <v>28</v>
      </c>
      <c r="P79">
        <v>800</v>
      </c>
      <c r="Q79">
        <f t="shared" si="14"/>
        <v>29.571428571428573</v>
      </c>
      <c r="R79" s="4">
        <v>5.0000000000000001E-3</v>
      </c>
    </row>
    <row r="80" spans="1:18" x14ac:dyDescent="0.2">
      <c r="A80" s="27" t="s">
        <v>40</v>
      </c>
      <c r="B80">
        <f t="shared" si="11"/>
        <v>8</v>
      </c>
      <c r="G80" s="2" t="e">
        <f t="shared" si="7"/>
        <v>#DIV/0!</v>
      </c>
      <c r="J80" s="2" t="e">
        <f t="shared" si="8"/>
        <v>#DIV/0!</v>
      </c>
      <c r="M80" s="2" t="e">
        <f t="shared" si="12"/>
        <v>#DIV/0!</v>
      </c>
      <c r="N80" s="5" t="e">
        <f t="shared" si="13"/>
        <v>#DIV/0!</v>
      </c>
      <c r="O80" s="17">
        <v>0</v>
      </c>
      <c r="P80">
        <v>800</v>
      </c>
      <c r="Q80" t="e">
        <f t="shared" si="14"/>
        <v>#DIV/0!</v>
      </c>
      <c r="R80" s="4">
        <v>5.0000000000000001E-3</v>
      </c>
    </row>
    <row r="81" spans="1:18" x14ac:dyDescent="0.2">
      <c r="A81" s="27" t="s">
        <v>41</v>
      </c>
      <c r="B81">
        <f t="shared" si="11"/>
        <v>8</v>
      </c>
      <c r="G81" s="2">
        <f t="shared" si="7"/>
        <v>0</v>
      </c>
      <c r="H81">
        <v>4</v>
      </c>
      <c r="I81">
        <v>13</v>
      </c>
      <c r="J81" s="2">
        <f t="shared" si="8"/>
        <v>1016476190.4761904</v>
      </c>
      <c r="K81">
        <v>4</v>
      </c>
      <c r="L81">
        <v>7</v>
      </c>
      <c r="M81" s="2">
        <f t="shared" si="12"/>
        <v>547333333.33333337</v>
      </c>
      <c r="N81" s="5">
        <f t="shared" si="13"/>
        <v>521269841.26984125</v>
      </c>
      <c r="O81" s="17">
        <v>21</v>
      </c>
      <c r="P81">
        <v>800</v>
      </c>
      <c r="Q81">
        <f t="shared" si="14"/>
        <v>39.095238095238095</v>
      </c>
      <c r="R81" s="4">
        <v>5.0000000000000001E-3</v>
      </c>
    </row>
    <row r="82" spans="1:18" s="29" customFormat="1" ht="17" thickBot="1" x14ac:dyDescent="0.25">
      <c r="A82" s="28" t="s">
        <v>41</v>
      </c>
      <c r="B82" s="29">
        <f t="shared" si="11"/>
        <v>8</v>
      </c>
      <c r="E82" s="29">
        <v>4</v>
      </c>
      <c r="F82" s="29">
        <v>7</v>
      </c>
      <c r="G82" s="30">
        <f t="shared" si="7"/>
        <v>714000000</v>
      </c>
      <c r="H82" s="29">
        <v>4</v>
      </c>
      <c r="I82" s="29">
        <v>5</v>
      </c>
      <c r="J82" s="30">
        <f t="shared" si="8"/>
        <v>510000000</v>
      </c>
      <c r="K82" s="29">
        <v>4</v>
      </c>
      <c r="L82" s="29">
        <v>11</v>
      </c>
      <c r="M82" s="30">
        <f t="shared" si="12"/>
        <v>1122000000</v>
      </c>
      <c r="N82" s="31">
        <f t="shared" si="13"/>
        <v>782000000</v>
      </c>
      <c r="O82" s="21">
        <v>16</v>
      </c>
      <c r="P82" s="29">
        <v>800</v>
      </c>
      <c r="Q82" s="29">
        <f t="shared" si="14"/>
        <v>51</v>
      </c>
      <c r="R82" s="29">
        <v>5.0000000000000001E-3</v>
      </c>
    </row>
    <row r="83" spans="1:18" x14ac:dyDescent="0.2">
      <c r="B83" t="s">
        <v>42</v>
      </c>
      <c r="E83">
        <v>0</v>
      </c>
      <c r="F83">
        <v>4</v>
      </c>
      <c r="G83" s="2">
        <f t="shared" si="7"/>
        <v>401.99004975124382</v>
      </c>
      <c r="H83">
        <v>0</v>
      </c>
      <c r="I83">
        <v>11</v>
      </c>
      <c r="J83" s="2">
        <f t="shared" si="8"/>
        <v>1105.4726368159204</v>
      </c>
      <c r="K83">
        <v>0</v>
      </c>
      <c r="L83">
        <v>8</v>
      </c>
      <c r="M83" s="2">
        <f t="shared" si="12"/>
        <v>803.98009950248763</v>
      </c>
      <c r="N83" s="32">
        <f t="shared" si="13"/>
        <v>770.48092868988397</v>
      </c>
      <c r="O83" s="17">
        <v>8</v>
      </c>
      <c r="P83">
        <v>800</v>
      </c>
      <c r="Q83">
        <f t="shared" ref="Q83:Q92" si="15">(P83+O83)/O83</f>
        <v>101</v>
      </c>
      <c r="R83" s="4">
        <v>1.0049999999999999</v>
      </c>
    </row>
    <row r="84" spans="1:18" x14ac:dyDescent="0.2">
      <c r="B84" t="s">
        <v>42</v>
      </c>
      <c r="E84">
        <v>0</v>
      </c>
      <c r="F84">
        <v>8</v>
      </c>
      <c r="G84" s="2">
        <f t="shared" si="7"/>
        <v>294.17365676717304</v>
      </c>
      <c r="H84">
        <v>0</v>
      </c>
      <c r="I84">
        <v>2</v>
      </c>
      <c r="J84" s="2">
        <f t="shared" si="8"/>
        <v>73.543414191793261</v>
      </c>
      <c r="K84">
        <v>0</v>
      </c>
      <c r="L84">
        <v>1</v>
      </c>
      <c r="M84" s="2">
        <f t="shared" si="12"/>
        <v>36.77170709589663</v>
      </c>
      <c r="N84" s="32">
        <f t="shared" si="13"/>
        <v>134.82959268495429</v>
      </c>
      <c r="O84" s="17">
        <v>11</v>
      </c>
      <c r="P84">
        <v>800</v>
      </c>
      <c r="Q84">
        <f t="shared" si="15"/>
        <v>73.727272727272734</v>
      </c>
      <c r="R84" s="4">
        <v>2.0049999999999999</v>
      </c>
    </row>
    <row r="85" spans="1:18" x14ac:dyDescent="0.2">
      <c r="B85" t="s">
        <v>42</v>
      </c>
      <c r="E85">
        <v>0</v>
      </c>
      <c r="F85">
        <v>10</v>
      </c>
      <c r="G85" s="2">
        <f t="shared" ref="G85:G92" si="16">F85*10^E85/R85*Q85</f>
        <v>269.55074875207987</v>
      </c>
      <c r="H85">
        <v>0</v>
      </c>
      <c r="I85">
        <v>8</v>
      </c>
      <c r="J85" s="2">
        <f t="shared" ref="J85:J92" si="17">I85*10^H85/R85*Q85</f>
        <v>215.64059900166393</v>
      </c>
      <c r="K85">
        <v>0</v>
      </c>
      <c r="L85">
        <v>7</v>
      </c>
      <c r="M85" s="2">
        <f t="shared" si="12"/>
        <v>188.68552412645593</v>
      </c>
      <c r="N85" s="32">
        <f t="shared" si="13"/>
        <v>224.62562396006658</v>
      </c>
      <c r="O85" s="17">
        <v>10</v>
      </c>
      <c r="P85">
        <v>800</v>
      </c>
      <c r="Q85">
        <f t="shared" si="15"/>
        <v>81</v>
      </c>
      <c r="R85" s="4">
        <v>3.0049999999999999</v>
      </c>
    </row>
    <row r="86" spans="1:18" x14ac:dyDescent="0.2">
      <c r="B86" t="s">
        <v>42</v>
      </c>
      <c r="E86">
        <v>0</v>
      </c>
      <c r="F86">
        <v>0</v>
      </c>
      <c r="G86" s="2">
        <f t="shared" si="16"/>
        <v>0</v>
      </c>
      <c r="H86">
        <v>0</v>
      </c>
      <c r="I86">
        <v>0</v>
      </c>
      <c r="J86" s="2">
        <f t="shared" si="17"/>
        <v>0</v>
      </c>
      <c r="K86">
        <v>0</v>
      </c>
      <c r="L86">
        <v>2</v>
      </c>
      <c r="M86" s="2">
        <f t="shared" si="12"/>
        <v>17.145235122763214</v>
      </c>
      <c r="N86" s="32">
        <f t="shared" si="13"/>
        <v>5.7150783742544045</v>
      </c>
      <c r="O86" s="17">
        <v>24</v>
      </c>
      <c r="P86">
        <v>800</v>
      </c>
      <c r="Q86">
        <f t="shared" si="15"/>
        <v>34.333333333333336</v>
      </c>
      <c r="R86" s="4">
        <v>4.0049999999999999</v>
      </c>
    </row>
    <row r="87" spans="1:18" x14ac:dyDescent="0.2">
      <c r="B87" t="s">
        <v>42</v>
      </c>
      <c r="G87" s="2" t="e">
        <f t="shared" si="16"/>
        <v>#DIV/0!</v>
      </c>
      <c r="J87" s="2" t="e">
        <f t="shared" si="17"/>
        <v>#DIV/0!</v>
      </c>
      <c r="M87" s="2" t="e">
        <f t="shared" si="12"/>
        <v>#DIV/0!</v>
      </c>
      <c r="N87" s="32"/>
      <c r="O87" s="19">
        <v>0</v>
      </c>
      <c r="P87">
        <v>800</v>
      </c>
      <c r="Q87" t="e">
        <f t="shared" si="15"/>
        <v>#DIV/0!</v>
      </c>
      <c r="R87" s="4">
        <v>5.0049999999999999</v>
      </c>
    </row>
    <row r="88" spans="1:18" x14ac:dyDescent="0.2">
      <c r="B88" t="s">
        <v>42</v>
      </c>
      <c r="E88">
        <v>2</v>
      </c>
      <c r="F88">
        <v>11</v>
      </c>
      <c r="G88" s="2">
        <f t="shared" si="16"/>
        <v>10650.648269299394</v>
      </c>
      <c r="H88">
        <v>2</v>
      </c>
      <c r="I88">
        <v>11</v>
      </c>
      <c r="J88" s="2">
        <f t="shared" si="17"/>
        <v>10650.648269299394</v>
      </c>
      <c r="K88">
        <v>2</v>
      </c>
      <c r="L88">
        <v>20</v>
      </c>
      <c r="M88" s="2">
        <f t="shared" si="12"/>
        <v>19364.81503508981</v>
      </c>
      <c r="N88" s="33">
        <f t="shared" si="13"/>
        <v>13555.370524562866</v>
      </c>
      <c r="O88" s="20">
        <v>14</v>
      </c>
      <c r="P88">
        <v>800</v>
      </c>
      <c r="Q88">
        <f t="shared" si="15"/>
        <v>58.142857142857146</v>
      </c>
      <c r="R88" s="4">
        <v>6.0049999999999999</v>
      </c>
    </row>
    <row r="89" spans="1:18" x14ac:dyDescent="0.2">
      <c r="B89" t="s">
        <v>42</v>
      </c>
      <c r="E89">
        <v>2</v>
      </c>
      <c r="F89">
        <v>12</v>
      </c>
      <c r="G89" s="2">
        <f t="shared" si="16"/>
        <v>6697.2570612827576</v>
      </c>
      <c r="H89">
        <v>2</v>
      </c>
      <c r="I89">
        <v>12</v>
      </c>
      <c r="J89" s="2">
        <f t="shared" si="17"/>
        <v>6697.2570612827576</v>
      </c>
      <c r="K89">
        <v>2</v>
      </c>
      <c r="L89">
        <v>4</v>
      </c>
      <c r="M89" s="2">
        <f t="shared" si="12"/>
        <v>2232.419020427586</v>
      </c>
      <c r="N89" s="33">
        <f t="shared" si="13"/>
        <v>5208.9777143310339</v>
      </c>
      <c r="O89" s="17">
        <v>21</v>
      </c>
      <c r="P89">
        <v>800</v>
      </c>
      <c r="Q89">
        <f t="shared" si="15"/>
        <v>39.095238095238095</v>
      </c>
      <c r="R89" s="4">
        <v>7.0049999999999999</v>
      </c>
    </row>
    <row r="90" spans="1:18" x14ac:dyDescent="0.2">
      <c r="B90" t="s">
        <v>42</v>
      </c>
      <c r="E90">
        <v>0</v>
      </c>
      <c r="F90">
        <v>1</v>
      </c>
      <c r="G90" s="2" t="e">
        <f t="shared" si="16"/>
        <v>#DIV/0!</v>
      </c>
      <c r="H90">
        <v>0</v>
      </c>
      <c r="I90">
        <v>0</v>
      </c>
      <c r="J90" s="2" t="e">
        <f t="shared" si="17"/>
        <v>#DIV/0!</v>
      </c>
      <c r="K90">
        <v>0</v>
      </c>
      <c r="L90">
        <v>1</v>
      </c>
      <c r="M90" s="2" t="e">
        <f t="shared" si="12"/>
        <v>#DIV/0!</v>
      </c>
      <c r="N90" s="33"/>
      <c r="O90" s="19">
        <v>0</v>
      </c>
      <c r="P90">
        <v>800</v>
      </c>
      <c r="Q90" t="e">
        <f t="shared" si="15"/>
        <v>#DIV/0!</v>
      </c>
      <c r="R90" s="4">
        <v>8.0050000000000008</v>
      </c>
    </row>
    <row r="91" spans="1:18" x14ac:dyDescent="0.2">
      <c r="B91" t="s">
        <v>42</v>
      </c>
      <c r="G91" s="2">
        <f t="shared" si="16"/>
        <v>0</v>
      </c>
      <c r="J91" s="2">
        <f t="shared" si="17"/>
        <v>0</v>
      </c>
      <c r="M91" s="2">
        <f t="shared" si="12"/>
        <v>0</v>
      </c>
      <c r="N91" s="33">
        <f t="shared" si="13"/>
        <v>0</v>
      </c>
      <c r="O91" s="17">
        <v>22</v>
      </c>
      <c r="P91">
        <v>800</v>
      </c>
      <c r="Q91">
        <f t="shared" si="15"/>
        <v>37.363636363636367</v>
      </c>
      <c r="R91" s="4">
        <v>9.0050000000000008</v>
      </c>
    </row>
    <row r="92" spans="1:18" ht="17" thickBot="1" x14ac:dyDescent="0.25">
      <c r="B92" t="s">
        <v>42</v>
      </c>
      <c r="E92">
        <v>2</v>
      </c>
      <c r="F92">
        <v>10</v>
      </c>
      <c r="G92" s="2">
        <f t="shared" si="16"/>
        <v>3298.350824587706</v>
      </c>
      <c r="H92">
        <v>2</v>
      </c>
      <c r="I92">
        <v>8</v>
      </c>
      <c r="J92" s="2">
        <f t="shared" si="17"/>
        <v>2638.6806596701649</v>
      </c>
      <c r="K92">
        <v>2</v>
      </c>
      <c r="L92">
        <v>13</v>
      </c>
      <c r="M92" s="2">
        <f t="shared" si="12"/>
        <v>4287.8560719640172</v>
      </c>
      <c r="N92" s="33">
        <f t="shared" si="13"/>
        <v>3408.295852073963</v>
      </c>
      <c r="O92" s="21">
        <v>25</v>
      </c>
      <c r="P92">
        <v>800</v>
      </c>
      <c r="Q92">
        <f t="shared" si="15"/>
        <v>33</v>
      </c>
      <c r="R92" s="4">
        <v>10.005000000000001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AFDD-D4F3-0E49-8BDB-0611DB552803}">
  <dimension ref="A1:U25"/>
  <sheetViews>
    <sheetView topLeftCell="F6" workbookViewId="0">
      <selection activeCell="N15" sqref="N15:U24"/>
    </sheetView>
  </sheetViews>
  <sheetFormatPr baseColWidth="10" defaultRowHeight="16" x14ac:dyDescent="0.2"/>
  <sheetData>
    <row r="1" spans="1:21" ht="15" x14ac:dyDescent="0.2">
      <c r="B1" t="s">
        <v>31</v>
      </c>
      <c r="C1" t="s">
        <v>30</v>
      </c>
    </row>
    <row r="2" spans="1:21" x14ac:dyDescent="0.2">
      <c r="A2" t="s">
        <v>32</v>
      </c>
      <c r="B2" s="12">
        <v>107000000000</v>
      </c>
    </row>
    <row r="3" spans="1:21" x14ac:dyDescent="0.2">
      <c r="B3" s="12">
        <v>161000000000</v>
      </c>
      <c r="N3" s="12">
        <v>24400000000</v>
      </c>
      <c r="O3" s="13">
        <v>99200000000</v>
      </c>
      <c r="P3" s="12">
        <v>107000000000</v>
      </c>
    </row>
    <row r="4" spans="1:21" x14ac:dyDescent="0.2">
      <c r="B4" s="12">
        <v>151000000000</v>
      </c>
      <c r="N4" s="12">
        <v>48800000000</v>
      </c>
      <c r="O4" s="12">
        <v>77300000000</v>
      </c>
      <c r="P4" s="12">
        <v>161000000000</v>
      </c>
    </row>
    <row r="5" spans="1:21" x14ac:dyDescent="0.2">
      <c r="B5" s="12">
        <v>181000000000</v>
      </c>
      <c r="N5" s="12">
        <v>36500000000</v>
      </c>
      <c r="O5" s="12">
        <v>39900000000</v>
      </c>
      <c r="P5" s="12">
        <v>151000000000</v>
      </c>
    </row>
    <row r="6" spans="1:21" x14ac:dyDescent="0.2">
      <c r="B6" s="12">
        <v>84300000000</v>
      </c>
      <c r="N6" s="12">
        <v>35300000000</v>
      </c>
      <c r="O6" s="12">
        <v>30900000000</v>
      </c>
      <c r="P6" s="12">
        <v>181000000000</v>
      </c>
    </row>
    <row r="7" spans="1:21" x14ac:dyDescent="0.2">
      <c r="B7" s="12"/>
      <c r="C7" s="12">
        <v>2970000000</v>
      </c>
      <c r="N7" s="12">
        <v>26400000000</v>
      </c>
      <c r="O7" s="12" t="s">
        <v>34</v>
      </c>
      <c r="P7" s="12">
        <v>84300000000</v>
      </c>
    </row>
    <row r="8" spans="1:21" x14ac:dyDescent="0.2">
      <c r="B8" s="12"/>
      <c r="C8" s="12">
        <v>8580000000</v>
      </c>
      <c r="N8" s="12">
        <v>460000000</v>
      </c>
      <c r="O8" s="12" t="s">
        <v>35</v>
      </c>
      <c r="P8" s="12">
        <v>2970000000</v>
      </c>
    </row>
    <row r="9" spans="1:21" x14ac:dyDescent="0.2">
      <c r="B9" s="12"/>
      <c r="C9" s="12">
        <v>8570000000</v>
      </c>
      <c r="N9" s="12">
        <v>3510000000</v>
      </c>
      <c r="O9" s="12" t="s">
        <v>35</v>
      </c>
      <c r="P9" s="12">
        <v>8580000000</v>
      </c>
    </row>
    <row r="10" spans="1:21" x14ac:dyDescent="0.2">
      <c r="B10" s="12"/>
      <c r="C10" s="12">
        <v>7670000000</v>
      </c>
      <c r="N10" s="12">
        <v>1150000000</v>
      </c>
      <c r="O10" s="12" t="s">
        <v>35</v>
      </c>
      <c r="P10" s="12">
        <v>8570000000</v>
      </c>
    </row>
    <row r="11" spans="1:21" x14ac:dyDescent="0.2">
      <c r="B11" s="12"/>
      <c r="C11" s="12">
        <v>9350000000</v>
      </c>
      <c r="N11" s="12">
        <v>18300000000</v>
      </c>
      <c r="O11" s="12" t="s">
        <v>35</v>
      </c>
      <c r="P11" s="12">
        <v>7670000000</v>
      </c>
    </row>
    <row r="12" spans="1:21" x14ac:dyDescent="0.2">
      <c r="N12" s="12">
        <v>333000000</v>
      </c>
      <c r="O12" s="14" t="s">
        <v>35</v>
      </c>
      <c r="P12" s="12">
        <v>9350000000</v>
      </c>
    </row>
    <row r="15" spans="1:21" x14ac:dyDescent="0.2">
      <c r="N15" s="5">
        <v>24360000000</v>
      </c>
      <c r="O15" s="7">
        <v>99244444444.444458</v>
      </c>
      <c r="P15" s="5">
        <v>106822222222.22221</v>
      </c>
      <c r="Q15" s="5">
        <v>120650000000</v>
      </c>
      <c r="R15" s="5">
        <v>143933333333.33334</v>
      </c>
      <c r="S15">
        <v>17621568627.450981</v>
      </c>
      <c r="T15">
        <v>86186666666.666672</v>
      </c>
      <c r="U15">
        <v>112288888888.8889</v>
      </c>
    </row>
    <row r="16" spans="1:21" x14ac:dyDescent="0.2">
      <c r="N16" s="5">
        <v>48800000000</v>
      </c>
      <c r="O16" s="5">
        <v>77257142857.142868</v>
      </c>
      <c r="P16" s="5">
        <v>161041025641.02563</v>
      </c>
      <c r="Q16" s="5">
        <v>107950000000</v>
      </c>
      <c r="R16" s="5">
        <v>182033333333.33334</v>
      </c>
      <c r="S16">
        <v>17142222222.222223</v>
      </c>
      <c r="T16">
        <v>83557575757.57576</v>
      </c>
      <c r="U16">
        <v>54733333333.333336</v>
      </c>
    </row>
    <row r="17" spans="5:21" x14ac:dyDescent="0.2">
      <c r="N17" s="5">
        <v>36511111111.111115</v>
      </c>
      <c r="O17" s="5">
        <v>39882352941.176468</v>
      </c>
      <c r="P17" s="5">
        <v>150651282051.28204</v>
      </c>
      <c r="Q17" s="5">
        <v>210392307692.30768</v>
      </c>
      <c r="R17" s="5">
        <v>161041025641.02567</v>
      </c>
      <c r="S17">
        <v>67666666666.666664</v>
      </c>
      <c r="T17">
        <v>151200000000</v>
      </c>
      <c r="U17" s="5" t="s">
        <v>36</v>
      </c>
    </row>
    <row r="18" spans="5:21" x14ac:dyDescent="0.2">
      <c r="N18" s="5">
        <v>35312820512.820511</v>
      </c>
      <c r="O18" s="5">
        <v>30922222222.222218</v>
      </c>
      <c r="P18" s="5">
        <v>180977777777.7778</v>
      </c>
      <c r="Q18" s="5">
        <v>96536842105.263153</v>
      </c>
      <c r="R18" s="5">
        <v>48983508771.929817</v>
      </c>
      <c r="S18">
        <v>75152380952.380966</v>
      </c>
      <c r="T18">
        <v>132755555555.55556</v>
      </c>
      <c r="U18">
        <v>46580000000</v>
      </c>
    </row>
    <row r="19" spans="5:21" x14ac:dyDescent="0.2">
      <c r="N19" s="5">
        <v>26398198198.1982</v>
      </c>
      <c r="O19" s="5" t="s">
        <v>36</v>
      </c>
      <c r="P19" s="5">
        <v>84333333333.333328</v>
      </c>
      <c r="Q19" s="5">
        <v>32385000000</v>
      </c>
      <c r="R19" s="5">
        <v>36406666666.666664</v>
      </c>
      <c r="S19">
        <v>47366666666.666664</v>
      </c>
      <c r="T19" s="5" t="s">
        <v>36</v>
      </c>
      <c r="U19">
        <v>62272727272.727272</v>
      </c>
    </row>
    <row r="20" spans="5:21" x14ac:dyDescent="0.2">
      <c r="F20" t="s">
        <v>29</v>
      </c>
      <c r="G20" t="s">
        <v>28</v>
      </c>
      <c r="H20" t="s">
        <v>27</v>
      </c>
      <c r="N20" s="5">
        <v>460363636.36363643</v>
      </c>
      <c r="O20" s="5" t="s">
        <v>36</v>
      </c>
      <c r="P20" s="5">
        <v>2973047619.0476189</v>
      </c>
      <c r="Q20" s="5">
        <v>1753222222.2222223</v>
      </c>
      <c r="R20" s="5">
        <v>867185185.18518531</v>
      </c>
      <c r="S20">
        <v>8847272727.272728</v>
      </c>
      <c r="T20">
        <v>4651428571.4285717</v>
      </c>
      <c r="U20">
        <v>820000000</v>
      </c>
    </row>
    <row r="21" spans="5:21" x14ac:dyDescent="0.2">
      <c r="F21" s="9">
        <v>45329</v>
      </c>
      <c r="G21" s="9">
        <v>45406</v>
      </c>
      <c r="H21" s="11">
        <f>(G21-F21)/7</f>
        <v>11</v>
      </c>
      <c r="N21" s="5">
        <v>3513333333.3333335</v>
      </c>
      <c r="O21" s="5" t="s">
        <v>36</v>
      </c>
      <c r="P21" s="5">
        <v>8578181818.181819</v>
      </c>
      <c r="Q21" s="5">
        <v>10160000000</v>
      </c>
      <c r="R21" s="5">
        <v>1100666666.6666667</v>
      </c>
      <c r="S21">
        <v>9293333333.333334</v>
      </c>
      <c r="T21">
        <v>6255238095.2380953</v>
      </c>
      <c r="U21">
        <v>4337142857.1428566</v>
      </c>
    </row>
    <row r="22" spans="5:21" x14ac:dyDescent="0.2">
      <c r="F22" s="9">
        <v>45340</v>
      </c>
      <c r="G22" s="9">
        <v>45406</v>
      </c>
      <c r="H22" s="11">
        <f>(G22-F22)/7</f>
        <v>9.4285714285714288</v>
      </c>
      <c r="N22" s="5">
        <v>1148000000</v>
      </c>
      <c r="O22" s="5" t="s">
        <v>36</v>
      </c>
      <c r="P22" s="5">
        <v>8571111111.1111116</v>
      </c>
      <c r="Q22" s="5">
        <v>13786363636.363636</v>
      </c>
      <c r="R22" s="5">
        <v>1102909090.909091</v>
      </c>
      <c r="S22">
        <v>11277777777.777779</v>
      </c>
      <c r="T22" s="5" t="s">
        <v>36</v>
      </c>
      <c r="U22" s="5" t="s">
        <v>36</v>
      </c>
    </row>
    <row r="23" spans="5:21" x14ac:dyDescent="0.2">
      <c r="I23" s="10" t="s">
        <v>26</v>
      </c>
      <c r="N23" s="5">
        <v>18311111111.111111</v>
      </c>
      <c r="O23" s="5" t="s">
        <v>36</v>
      </c>
      <c r="P23" s="5">
        <v>7668888888.8888893</v>
      </c>
      <c r="Q23" s="5">
        <v>19300909090.909092</v>
      </c>
      <c r="R23" s="5">
        <v>1225454545.4545455</v>
      </c>
      <c r="S23">
        <v>15120000000</v>
      </c>
      <c r="T23">
        <v>62272727.272727281</v>
      </c>
      <c r="U23">
        <v>521269841.26984125</v>
      </c>
    </row>
    <row r="24" spans="5:21" x14ac:dyDescent="0.2">
      <c r="E24" t="s">
        <v>25</v>
      </c>
      <c r="F24" s="9">
        <v>45388</v>
      </c>
      <c r="I24" s="9">
        <f>F24+9*7</f>
        <v>45451</v>
      </c>
      <c r="N24" s="5">
        <v>333333333.33333331</v>
      </c>
      <c r="O24" s="5" t="s">
        <v>36</v>
      </c>
      <c r="P24" s="5">
        <v>9350769230.769228</v>
      </c>
      <c r="Q24" s="5">
        <v>15584615384.615383</v>
      </c>
      <c r="R24" s="5">
        <v>462343589.7435897</v>
      </c>
      <c r="S24">
        <v>5780000000</v>
      </c>
      <c r="T24">
        <v>4620000000</v>
      </c>
      <c r="U24">
        <v>782000000</v>
      </c>
    </row>
    <row r="25" spans="5:21" x14ac:dyDescent="0.2">
      <c r="E25" t="s">
        <v>24</v>
      </c>
      <c r="F25" s="9">
        <v>45373</v>
      </c>
      <c r="I25" s="9">
        <f>F25+9*7</f>
        <v>45436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FE3-020E-C74A-AA22-C03FF2485228}">
  <dimension ref="A1:P16"/>
  <sheetViews>
    <sheetView workbookViewId="0">
      <selection activeCell="K20" sqref="K20"/>
    </sheetView>
  </sheetViews>
  <sheetFormatPr baseColWidth="10" defaultRowHeight="16" x14ac:dyDescent="0.2"/>
  <sheetData>
    <row r="1" spans="1:16" x14ac:dyDescent="0.2">
      <c r="A1" t="s">
        <v>52</v>
      </c>
      <c r="B1" t="s">
        <v>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16" x14ac:dyDescent="0.2">
      <c r="A2" t="s">
        <v>53</v>
      </c>
      <c r="B2">
        <v>1</v>
      </c>
      <c r="C2" s="2">
        <v>24360000000</v>
      </c>
      <c r="D2" s="2">
        <v>99244444444.444458</v>
      </c>
      <c r="E2" s="2">
        <v>106822222222.22221</v>
      </c>
      <c r="F2" s="2">
        <v>120650000000</v>
      </c>
      <c r="G2" s="2">
        <v>143933333333.33334</v>
      </c>
      <c r="H2" s="2">
        <v>17621568627.450981</v>
      </c>
      <c r="K2" s="12"/>
      <c r="L2" s="12"/>
      <c r="M2" s="12"/>
      <c r="N2" s="12"/>
      <c r="O2" s="12"/>
      <c r="P2" s="12"/>
    </row>
    <row r="3" spans="1:16" x14ac:dyDescent="0.2">
      <c r="A3" t="s">
        <v>53</v>
      </c>
      <c r="B3">
        <v>2</v>
      </c>
      <c r="C3" s="2">
        <v>48800000000</v>
      </c>
      <c r="D3" s="2">
        <v>77257142857.142868</v>
      </c>
      <c r="E3" s="2">
        <v>161041025641.02563</v>
      </c>
      <c r="F3" s="2">
        <v>107950000000</v>
      </c>
      <c r="G3" s="2">
        <v>182033333333.33334</v>
      </c>
      <c r="H3" s="2">
        <v>17142222222.222223</v>
      </c>
      <c r="K3" s="12"/>
      <c r="L3" s="12"/>
      <c r="M3" s="12"/>
      <c r="N3" s="12"/>
      <c r="O3" s="12"/>
      <c r="P3" s="12"/>
    </row>
    <row r="4" spans="1:16" x14ac:dyDescent="0.2">
      <c r="A4" t="s">
        <v>53</v>
      </c>
      <c r="B4">
        <v>3</v>
      </c>
      <c r="C4" s="2">
        <v>36511111111.111115</v>
      </c>
      <c r="D4" s="2">
        <v>39882352941.176468</v>
      </c>
      <c r="E4" s="2">
        <v>150651282051.28204</v>
      </c>
      <c r="F4" s="2">
        <v>210392307692.30768</v>
      </c>
      <c r="G4" s="2">
        <v>161041025641.02567</v>
      </c>
      <c r="H4" s="2">
        <v>67666666666.666664</v>
      </c>
      <c r="J4" s="5"/>
    </row>
    <row r="5" spans="1:16" x14ac:dyDescent="0.2">
      <c r="A5" t="s">
        <v>53</v>
      </c>
      <c r="B5">
        <v>4</v>
      </c>
      <c r="C5" s="2">
        <v>35312820512.820511</v>
      </c>
      <c r="D5" s="2">
        <v>30922222222.222218</v>
      </c>
      <c r="E5" s="2">
        <v>180977777777.7778</v>
      </c>
      <c r="F5" s="2">
        <v>96536842105.263153</v>
      </c>
      <c r="G5" s="2">
        <v>48983508771.929817</v>
      </c>
      <c r="H5" s="2">
        <v>75152380952.380966</v>
      </c>
    </row>
    <row r="6" spans="1:16" x14ac:dyDescent="0.2">
      <c r="A6" t="s">
        <v>53</v>
      </c>
      <c r="B6">
        <v>5</v>
      </c>
      <c r="C6" s="2">
        <v>26398198198.1982</v>
      </c>
      <c r="D6" s="2" t="s">
        <v>36</v>
      </c>
      <c r="E6" s="2">
        <v>84333333333.333328</v>
      </c>
      <c r="F6" s="2">
        <v>32385000000</v>
      </c>
      <c r="G6" s="2">
        <v>36406666666.666664</v>
      </c>
      <c r="H6" s="2">
        <v>47366666666.666664</v>
      </c>
      <c r="I6" s="5"/>
    </row>
    <row r="7" spans="1:16" x14ac:dyDescent="0.2">
      <c r="A7" t="s">
        <v>54</v>
      </c>
      <c r="B7">
        <v>1</v>
      </c>
      <c r="C7" s="2">
        <v>460363636.36363643</v>
      </c>
      <c r="D7" s="2" t="s">
        <v>36</v>
      </c>
      <c r="E7" s="2">
        <v>2973047619.0476189</v>
      </c>
      <c r="F7" s="2">
        <v>1753222222.2222223</v>
      </c>
      <c r="G7" s="2">
        <v>867185185.18518531</v>
      </c>
      <c r="H7" s="2">
        <v>8847272727.272728</v>
      </c>
    </row>
    <row r="8" spans="1:16" x14ac:dyDescent="0.2">
      <c r="A8" t="s">
        <v>54</v>
      </c>
      <c r="B8">
        <v>2</v>
      </c>
      <c r="C8" s="2">
        <v>3513333333.3333335</v>
      </c>
      <c r="D8" s="2" t="s">
        <v>36</v>
      </c>
      <c r="E8" s="2">
        <v>8578181818.181819</v>
      </c>
      <c r="F8" s="2">
        <v>10160000000</v>
      </c>
      <c r="G8" s="2">
        <v>1100666666.6666667</v>
      </c>
      <c r="H8" s="2">
        <v>9293333333.333334</v>
      </c>
    </row>
    <row r="9" spans="1:16" x14ac:dyDescent="0.2">
      <c r="A9" t="s">
        <v>54</v>
      </c>
      <c r="B9">
        <v>3</v>
      </c>
      <c r="C9" s="2">
        <v>1148000000</v>
      </c>
      <c r="D9" s="2" t="s">
        <v>36</v>
      </c>
      <c r="E9" s="2">
        <v>8571111111.1111116</v>
      </c>
      <c r="F9" s="2">
        <v>13786363636.363636</v>
      </c>
      <c r="G9" s="2">
        <v>1102909090.909091</v>
      </c>
      <c r="H9" s="2">
        <v>11277777777.777779</v>
      </c>
      <c r="I9" s="5"/>
      <c r="J9" s="5"/>
    </row>
    <row r="10" spans="1:16" x14ac:dyDescent="0.2">
      <c r="A10" t="s">
        <v>54</v>
      </c>
      <c r="B10">
        <v>4</v>
      </c>
      <c r="C10" s="2">
        <v>18311111111.111111</v>
      </c>
      <c r="D10" s="2" t="s">
        <v>36</v>
      </c>
      <c r="E10" s="2">
        <v>7668888888.8888893</v>
      </c>
      <c r="F10" s="2">
        <v>19300909090.909092</v>
      </c>
      <c r="G10" s="2">
        <v>1225454545.4545455</v>
      </c>
      <c r="H10" s="2">
        <v>15120000000</v>
      </c>
    </row>
    <row r="11" spans="1:16" x14ac:dyDescent="0.2">
      <c r="A11" t="s">
        <v>54</v>
      </c>
      <c r="B11">
        <v>5</v>
      </c>
      <c r="C11" s="2">
        <v>333333333.33333331</v>
      </c>
      <c r="D11" s="2" t="s">
        <v>36</v>
      </c>
      <c r="E11" s="2">
        <v>9350769230.769228</v>
      </c>
      <c r="F11" s="2">
        <v>15584615384.615383</v>
      </c>
      <c r="G11" s="2">
        <v>462343589.7435897</v>
      </c>
      <c r="H11" s="2">
        <v>5780000000</v>
      </c>
    </row>
    <row r="12" spans="1:16" x14ac:dyDescent="0.2">
      <c r="A12" t="s">
        <v>55</v>
      </c>
      <c r="B12">
        <v>1</v>
      </c>
      <c r="C12" s="12" t="s">
        <v>36</v>
      </c>
      <c r="D12" s="12">
        <v>1700000000</v>
      </c>
      <c r="E12" s="12">
        <v>163000000</v>
      </c>
      <c r="F12" s="12">
        <v>2510000000</v>
      </c>
      <c r="G12" s="12">
        <v>1350000000</v>
      </c>
      <c r="H12" s="12">
        <v>11000000</v>
      </c>
    </row>
    <row r="13" spans="1:16" x14ac:dyDescent="0.2">
      <c r="A13" t="s">
        <v>55</v>
      </c>
      <c r="B13">
        <v>2</v>
      </c>
      <c r="C13" s="12" t="s">
        <v>36</v>
      </c>
      <c r="D13" s="12">
        <v>1490000000</v>
      </c>
      <c r="E13" s="12">
        <v>1290000000</v>
      </c>
      <c r="F13" s="12" t="s">
        <v>36</v>
      </c>
      <c r="G13" s="12">
        <v>3290000000</v>
      </c>
      <c r="H13" s="12">
        <v>45500000</v>
      </c>
    </row>
    <row r="14" spans="1:16" x14ac:dyDescent="0.2">
      <c r="A14" t="s">
        <v>55</v>
      </c>
      <c r="B14">
        <v>3</v>
      </c>
      <c r="C14" s="12" t="s">
        <v>36</v>
      </c>
      <c r="D14" s="12">
        <v>1820000000</v>
      </c>
      <c r="E14" s="12">
        <v>1860000000</v>
      </c>
      <c r="F14" s="12">
        <v>3060000000</v>
      </c>
      <c r="G14" s="12" t="s">
        <v>36</v>
      </c>
      <c r="H14" s="12" t="s">
        <v>36</v>
      </c>
    </row>
    <row r="15" spans="1:16" x14ac:dyDescent="0.2">
      <c r="A15" t="s">
        <v>55</v>
      </c>
      <c r="B15">
        <v>4</v>
      </c>
      <c r="C15" s="12" t="s">
        <v>36</v>
      </c>
      <c r="D15" s="12">
        <v>1620000000</v>
      </c>
      <c r="E15" s="12">
        <v>343000000</v>
      </c>
      <c r="F15" s="12">
        <v>2080000000</v>
      </c>
      <c r="G15" s="12">
        <v>502000000</v>
      </c>
      <c r="H15" s="12">
        <v>2140000000</v>
      </c>
    </row>
    <row r="16" spans="1:16" x14ac:dyDescent="0.2">
      <c r="A16" t="s">
        <v>55</v>
      </c>
      <c r="B16">
        <v>5</v>
      </c>
      <c r="C16" s="12" t="s">
        <v>36</v>
      </c>
      <c r="D16" s="14">
        <v>544000000</v>
      </c>
      <c r="E16" s="14">
        <v>677000000</v>
      </c>
      <c r="F16" s="14">
        <v>2950000000</v>
      </c>
      <c r="G16" s="14">
        <v>2840000000</v>
      </c>
      <c r="H16" s="14">
        <v>1430000000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CFU_commMinus_repeat</vt:lpstr>
      <vt:lpstr>CFU_commMinus</vt:lpstr>
      <vt:lpstr>CFU_commPlus</vt:lpstr>
      <vt:lpstr>misc_plots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BRYCE MATTHEW CONNORS</cp:lastModifiedBy>
  <dcterms:created xsi:type="dcterms:W3CDTF">2024-05-08T22:02:30Z</dcterms:created>
  <dcterms:modified xsi:type="dcterms:W3CDTF">2024-08-02T16:52:50Z</dcterms:modified>
</cp:coreProperties>
</file>